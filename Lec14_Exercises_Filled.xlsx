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twennin/Dropbox/Teaching_IU/F420_S2026/Lectures/"/>
    </mc:Choice>
  </mc:AlternateContent>
  <xr:revisionPtr revIDLastSave="0" documentId="8_{D053812D-4A09-F243-A54B-74E7A80E5CB0}" xr6:coauthVersionLast="47" xr6:coauthVersionMax="47" xr10:uidLastSave="{00000000-0000-0000-0000-000000000000}"/>
  <bookViews>
    <workbookView xWindow="1900" yWindow="1820" windowWidth="27240" windowHeight="16440" xr2:uid="{E33245F6-BF72-B540-A431-4D09607B863C}"/>
  </bookViews>
  <sheets>
    <sheet name="Exercise 1" sheetId="1" r:id="rId1"/>
    <sheet name="Exercise 2" sheetId="2" r:id="rId2"/>
    <sheet name="Exercise 3" sheetId="5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5" l="1"/>
  <c r="E17" i="5"/>
  <c r="F17" i="5"/>
  <c r="C17" i="5"/>
  <c r="D13" i="5"/>
  <c r="E13" i="5"/>
  <c r="F13" i="5"/>
  <c r="D14" i="5"/>
  <c r="E14" i="5"/>
  <c r="F14" i="5"/>
  <c r="D15" i="5"/>
  <c r="D16" i="5" s="1"/>
  <c r="E15" i="5"/>
  <c r="F15" i="5"/>
  <c r="C14" i="5"/>
  <c r="C15" i="5"/>
  <c r="C13" i="5"/>
  <c r="C7" i="5"/>
  <c r="D7" i="5"/>
  <c r="E7" i="5"/>
  <c r="E10" i="5" s="1"/>
  <c r="E11" i="5" s="1"/>
  <c r="E12" i="5" s="1"/>
  <c r="F7" i="5"/>
  <c r="D8" i="5"/>
  <c r="E8" i="5"/>
  <c r="F8" i="5"/>
  <c r="D9" i="5"/>
  <c r="E9" i="5"/>
  <c r="F9" i="5"/>
  <c r="C8" i="5"/>
  <c r="C9" i="5"/>
  <c r="D6" i="5"/>
  <c r="E6" i="5"/>
  <c r="F6" i="5"/>
  <c r="C6" i="5"/>
  <c r="E6" i="2"/>
  <c r="D6" i="2"/>
  <c r="C6" i="2"/>
  <c r="B6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10" i="2"/>
  <c r="C11" i="2"/>
  <c r="D57" i="2" s="1"/>
  <c r="E57" i="2" s="1"/>
  <c r="C12" i="2"/>
  <c r="C13" i="2"/>
  <c r="D15" i="2" s="1"/>
  <c r="E15" i="2" s="1"/>
  <c r="C24" i="2"/>
  <c r="C25" i="2"/>
  <c r="C26" i="2"/>
  <c r="C27" i="2"/>
  <c r="C38" i="2"/>
  <c r="C39" i="2"/>
  <c r="C40" i="2"/>
  <c r="C41" i="2"/>
  <c r="C52" i="2"/>
  <c r="C53" i="2"/>
  <c r="C54" i="2"/>
  <c r="C55" i="2"/>
  <c r="C66" i="2"/>
  <c r="C67" i="2"/>
  <c r="C68" i="2"/>
  <c r="C69" i="2"/>
  <c r="B11" i="2"/>
  <c r="B12" i="2"/>
  <c r="B13" i="2"/>
  <c r="B14" i="2"/>
  <c r="C14" i="2" s="1"/>
  <c r="B15" i="2"/>
  <c r="C15" i="2" s="1"/>
  <c r="B16" i="2"/>
  <c r="C16" i="2" s="1"/>
  <c r="D16" i="2" s="1"/>
  <c r="E16" i="2" s="1"/>
  <c r="B17" i="2"/>
  <c r="C17" i="2" s="1"/>
  <c r="D17" i="2" s="1"/>
  <c r="E17" i="2" s="1"/>
  <c r="B18" i="2"/>
  <c r="C18" i="2" s="1"/>
  <c r="B19" i="2"/>
  <c r="C19" i="2" s="1"/>
  <c r="B20" i="2"/>
  <c r="C20" i="2" s="1"/>
  <c r="B21" i="2"/>
  <c r="C21" i="2" s="1"/>
  <c r="B22" i="2"/>
  <c r="C22" i="2" s="1"/>
  <c r="D22" i="2" s="1"/>
  <c r="E22" i="2" s="1"/>
  <c r="B23" i="2"/>
  <c r="C23" i="2" s="1"/>
  <c r="B24" i="2"/>
  <c r="B25" i="2"/>
  <c r="B26" i="2"/>
  <c r="B27" i="2"/>
  <c r="B28" i="2"/>
  <c r="C28" i="2" s="1"/>
  <c r="B29" i="2"/>
  <c r="C29" i="2" s="1"/>
  <c r="D29" i="2" s="1"/>
  <c r="E29" i="2" s="1"/>
  <c r="B30" i="2"/>
  <c r="C30" i="2" s="1"/>
  <c r="D30" i="2" s="1"/>
  <c r="E30" i="2" s="1"/>
  <c r="B31" i="2"/>
  <c r="C31" i="2" s="1"/>
  <c r="D31" i="2" s="1"/>
  <c r="E31" i="2" s="1"/>
  <c r="B32" i="2"/>
  <c r="C32" i="2" s="1"/>
  <c r="B33" i="2"/>
  <c r="C33" i="2" s="1"/>
  <c r="B34" i="2"/>
  <c r="C34" i="2" s="1"/>
  <c r="B35" i="2"/>
  <c r="C35" i="2" s="1"/>
  <c r="B36" i="2"/>
  <c r="C36" i="2" s="1"/>
  <c r="D36" i="2" s="1"/>
  <c r="E36" i="2" s="1"/>
  <c r="B37" i="2"/>
  <c r="C37" i="2" s="1"/>
  <c r="B38" i="2"/>
  <c r="B39" i="2"/>
  <c r="B40" i="2"/>
  <c r="B41" i="2"/>
  <c r="B42" i="2"/>
  <c r="C42" i="2" s="1"/>
  <c r="B43" i="2"/>
  <c r="C43" i="2" s="1"/>
  <c r="D43" i="2" s="1"/>
  <c r="E43" i="2" s="1"/>
  <c r="B44" i="2"/>
  <c r="C44" i="2" s="1"/>
  <c r="D44" i="2" s="1"/>
  <c r="E44" i="2" s="1"/>
  <c r="B45" i="2"/>
  <c r="C45" i="2" s="1"/>
  <c r="D45" i="2" s="1"/>
  <c r="E45" i="2" s="1"/>
  <c r="B46" i="2"/>
  <c r="C46" i="2" s="1"/>
  <c r="B47" i="2"/>
  <c r="C47" i="2" s="1"/>
  <c r="B48" i="2"/>
  <c r="C48" i="2" s="1"/>
  <c r="B49" i="2"/>
  <c r="C49" i="2" s="1"/>
  <c r="B50" i="2"/>
  <c r="C50" i="2" s="1"/>
  <c r="D50" i="2" s="1"/>
  <c r="E50" i="2" s="1"/>
  <c r="B51" i="2"/>
  <c r="C51" i="2" s="1"/>
  <c r="B52" i="2"/>
  <c r="B53" i="2"/>
  <c r="B54" i="2"/>
  <c r="B55" i="2"/>
  <c r="B56" i="2"/>
  <c r="C56" i="2" s="1"/>
  <c r="B57" i="2"/>
  <c r="C57" i="2" s="1"/>
  <c r="B58" i="2"/>
  <c r="C58" i="2" s="1"/>
  <c r="B59" i="2"/>
  <c r="C59" i="2" s="1"/>
  <c r="B60" i="2"/>
  <c r="C60" i="2" s="1"/>
  <c r="B61" i="2"/>
  <c r="C61" i="2" s="1"/>
  <c r="B62" i="2"/>
  <c r="C62" i="2" s="1"/>
  <c r="B63" i="2"/>
  <c r="C63" i="2" s="1"/>
  <c r="B64" i="2"/>
  <c r="C64" i="2" s="1"/>
  <c r="D64" i="2" s="1"/>
  <c r="E64" i="2" s="1"/>
  <c r="B65" i="2"/>
  <c r="C65" i="2" s="1"/>
  <c r="B66" i="2"/>
  <c r="B67" i="2"/>
  <c r="B68" i="2"/>
  <c r="B69" i="2"/>
  <c r="B10" i="2"/>
  <c r="C10" i="2" s="1"/>
  <c r="E12" i="1"/>
  <c r="E7" i="1"/>
  <c r="E8" i="1"/>
  <c r="E9" i="1"/>
  <c r="E10" i="1"/>
  <c r="E11" i="1"/>
  <c r="E6" i="1"/>
  <c r="D7" i="1"/>
  <c r="D8" i="1"/>
  <c r="D9" i="1"/>
  <c r="D10" i="1"/>
  <c r="D11" i="1"/>
  <c r="D6" i="1"/>
  <c r="C7" i="1"/>
  <c r="C8" i="1"/>
  <c r="C9" i="1"/>
  <c r="C10" i="1"/>
  <c r="C11" i="1"/>
  <c r="C6" i="1"/>
  <c r="B3" i="1"/>
  <c r="C10" i="5" l="1"/>
  <c r="E16" i="5"/>
  <c r="F10" i="5"/>
  <c r="F11" i="5" s="1"/>
  <c r="F12" i="5" s="1"/>
  <c r="F16" i="5"/>
  <c r="C16" i="5"/>
  <c r="D10" i="5"/>
  <c r="D11" i="5" s="1"/>
  <c r="D12" i="5" s="1"/>
  <c r="D67" i="2"/>
  <c r="E67" i="2" s="1"/>
  <c r="D62" i="2"/>
  <c r="E62" i="2" s="1"/>
  <c r="D35" i="2"/>
  <c r="E35" i="2" s="1"/>
  <c r="D48" i="2"/>
  <c r="E48" i="2" s="1"/>
  <c r="D47" i="2"/>
  <c r="E47" i="2" s="1"/>
  <c r="D32" i="2"/>
  <c r="E32" i="2" s="1"/>
  <c r="D58" i="2"/>
  <c r="E58" i="2" s="1"/>
  <c r="D41" i="2"/>
  <c r="E41" i="2" s="1"/>
  <c r="D39" i="2"/>
  <c r="E39" i="2" s="1"/>
  <c r="D49" i="2"/>
  <c r="E49" i="2" s="1"/>
  <c r="D12" i="2"/>
  <c r="E12" i="2" s="1"/>
  <c r="D34" i="2"/>
  <c r="E34" i="2" s="1"/>
  <c r="D33" i="2"/>
  <c r="E33" i="2" s="1"/>
  <c r="D60" i="2"/>
  <c r="E60" i="2" s="1"/>
  <c r="D53" i="2"/>
  <c r="E53" i="2" s="1"/>
  <c r="D52" i="2"/>
  <c r="E52" i="2" s="1"/>
  <c r="D40" i="2"/>
  <c r="E40" i="2" s="1"/>
  <c r="D42" i="2"/>
  <c r="E42" i="2" s="1"/>
  <c r="D38" i="2"/>
  <c r="E38" i="2" s="1"/>
  <c r="D63" i="2"/>
  <c r="E63" i="2" s="1"/>
  <c r="D66" i="2"/>
  <c r="E66" i="2" s="1"/>
  <c r="D55" i="2"/>
  <c r="E55" i="2" s="1"/>
  <c r="D19" i="2"/>
  <c r="E19" i="2" s="1"/>
  <c r="D46" i="2"/>
  <c r="E46" i="2" s="1"/>
  <c r="D14" i="2"/>
  <c r="E14" i="2" s="1"/>
  <c r="D21" i="2"/>
  <c r="E21" i="2" s="1"/>
  <c r="D20" i="2"/>
  <c r="E20" i="2" s="1"/>
  <c r="D54" i="2"/>
  <c r="E54" i="2" s="1"/>
  <c r="D18" i="2"/>
  <c r="E18" i="2" s="1"/>
  <c r="D28" i="2"/>
  <c r="E28" i="2" s="1"/>
  <c r="D13" i="2"/>
  <c r="E13" i="2" s="1"/>
  <c r="D11" i="2"/>
  <c r="E11" i="2" s="1"/>
  <c r="D61" i="2"/>
  <c r="E61" i="2" s="1"/>
  <c r="D59" i="2"/>
  <c r="E59" i="2" s="1"/>
  <c r="D10" i="2"/>
  <c r="E10" i="2" s="1"/>
  <c r="D56" i="2"/>
  <c r="E56" i="2" s="1"/>
  <c r="D27" i="2"/>
  <c r="E27" i="2" s="1"/>
  <c r="D26" i="2"/>
  <c r="E26" i="2" s="1"/>
  <c r="D69" i="2"/>
  <c r="E69" i="2" s="1"/>
  <c r="D25" i="2"/>
  <c r="E25" i="2" s="1"/>
  <c r="D65" i="2"/>
  <c r="E65" i="2" s="1"/>
  <c r="D51" i="2"/>
  <c r="E51" i="2" s="1"/>
  <c r="D37" i="2"/>
  <c r="E37" i="2" s="1"/>
  <c r="D23" i="2"/>
  <c r="E23" i="2" s="1"/>
  <c r="D68" i="2"/>
  <c r="E68" i="2" s="1"/>
  <c r="D24" i="2"/>
  <c r="E24" i="2" s="1"/>
  <c r="C11" i="5" l="1"/>
  <c r="C12" i="5" s="1"/>
</calcChain>
</file>

<file path=xl/sharedStrings.xml><?xml version="1.0" encoding="utf-8"?>
<sst xmlns="http://schemas.openxmlformats.org/spreadsheetml/2006/main" count="60" uniqueCount="28">
  <si>
    <t>Period</t>
  </si>
  <si>
    <t>Cash Flow</t>
  </si>
  <si>
    <t>Discounted Cash Flow</t>
  </si>
  <si>
    <t>Weight</t>
  </si>
  <si>
    <t>Weighted Maturity</t>
  </si>
  <si>
    <t>Annual Yield</t>
  </si>
  <si>
    <t>Period Yield</t>
  </si>
  <si>
    <t>Price</t>
  </si>
  <si>
    <t>Duration:</t>
  </si>
  <si>
    <t>Maturity</t>
  </si>
  <si>
    <t>Coupon</t>
  </si>
  <si>
    <t>Yield</t>
  </si>
  <si>
    <t>Par Value</t>
  </si>
  <si>
    <t>Bond A</t>
  </si>
  <si>
    <t>Bond B</t>
  </si>
  <si>
    <t>Bond C</t>
  </si>
  <si>
    <t>Bond D</t>
  </si>
  <si>
    <t>Duration</t>
  </si>
  <si>
    <t>Coupon Rate</t>
  </si>
  <si>
    <t>A</t>
  </si>
  <si>
    <t>C</t>
  </si>
  <si>
    <t>D</t>
  </si>
  <si>
    <t>B</t>
  </si>
  <si>
    <t>PVBP</t>
  </si>
  <si>
    <t>Verify</t>
  </si>
  <si>
    <t>True duration</t>
  </si>
  <si>
    <t>Eff. Duration</t>
  </si>
  <si>
    <t>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</si>
</sst>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6" formatCode="0.000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8" fontId="0" fillId="0" borderId="0" xfId="0" applyNumberFormat="1"/>
    <xf numFmtId="2" fontId="0" fillId="0" borderId="0" xfId="0" applyNumberFormat="1"/>
    <xf numFmtId="0" fontId="1" fillId="0" borderId="0" xfId="0" applyFont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2" fontId="0" fillId="2" borderId="4" xfId="0" applyNumberFormat="1" applyFill="1" applyBorder="1" applyAlignment="1">
      <alignment horizontal="center"/>
    </xf>
    <xf numFmtId="2" fontId="0" fillId="2" borderId="0" xfId="0" applyNumberFormat="1" applyFill="1" applyBorder="1" applyAlignment="1">
      <alignment horizontal="center"/>
    </xf>
    <xf numFmtId="0" fontId="3" fillId="3" borderId="8" xfId="0" applyFont="1" applyFill="1" applyBorder="1"/>
    <xf numFmtId="0" fontId="2" fillId="3" borderId="6" xfId="0" applyFont="1" applyFill="1" applyBorder="1"/>
    <xf numFmtId="2" fontId="0" fillId="2" borderId="1" xfId="0" applyNumberFormat="1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2" borderId="6" xfId="0" applyNumberFormat="1" applyFill="1" applyBorder="1" applyAlignment="1">
      <alignment horizontal="center"/>
    </xf>
    <xf numFmtId="2" fontId="0" fillId="2" borderId="7" xfId="0" applyNumberForma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8" fontId="0" fillId="2" borderId="8" xfId="0" applyNumberFormat="1" applyFill="1" applyBorder="1"/>
    <xf numFmtId="166" fontId="0" fillId="2" borderId="2" xfId="0" applyNumberFormat="1" applyFill="1" applyBorder="1" applyAlignment="1">
      <alignment horizontal="center"/>
    </xf>
    <xf numFmtId="166" fontId="0" fillId="2" borderId="0" xfId="0" applyNumberFormat="1" applyFill="1" applyBorder="1" applyAlignment="1">
      <alignment horizontal="center"/>
    </xf>
    <xf numFmtId="166" fontId="0" fillId="2" borderId="7" xfId="0" applyNumberFormat="1" applyFill="1" applyBorder="1" applyAlignment="1">
      <alignment horizontal="center"/>
    </xf>
    <xf numFmtId="166" fontId="0" fillId="2" borderId="3" xfId="0" applyNumberFormat="1" applyFill="1" applyBorder="1" applyAlignment="1">
      <alignment horizontal="center"/>
    </xf>
    <xf numFmtId="166" fontId="0" fillId="2" borderId="5" xfId="0" applyNumberFormat="1" applyFill="1" applyBorder="1" applyAlignment="1">
      <alignment horizontal="center"/>
    </xf>
    <xf numFmtId="166" fontId="0" fillId="2" borderId="8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2" xfId="0" applyFont="1" applyBorder="1"/>
    <xf numFmtId="0" fontId="0" fillId="0" borderId="13" xfId="0" applyBorder="1"/>
    <xf numFmtId="0" fontId="0" fillId="0" borderId="14" xfId="0" applyBorder="1"/>
    <xf numFmtId="0" fontId="1" fillId="0" borderId="1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F1BD0-57C0-1D47-B69F-7356A3FE7040}">
  <dimension ref="A1:E12"/>
  <sheetViews>
    <sheetView tabSelected="1" workbookViewId="0">
      <selection activeCell="F12" sqref="F12"/>
    </sheetView>
  </sheetViews>
  <sheetFormatPr baseColWidth="10" defaultRowHeight="16" x14ac:dyDescent="0.2"/>
  <cols>
    <col min="1" max="1" width="11" bestFit="1" customWidth="1"/>
    <col min="2" max="2" width="9.83203125" bestFit="1" customWidth="1"/>
    <col min="3" max="3" width="19.6640625" bestFit="1" customWidth="1"/>
    <col min="4" max="4" width="8.83203125" bestFit="1" customWidth="1"/>
    <col min="5" max="5" width="16" bestFit="1" customWidth="1"/>
  </cols>
  <sheetData>
    <row r="1" spans="1:5" x14ac:dyDescent="0.2">
      <c r="A1" s="10" t="s">
        <v>5</v>
      </c>
      <c r="B1" s="12">
        <v>0.08</v>
      </c>
      <c r="C1" s="11"/>
      <c r="D1" s="11"/>
      <c r="E1" s="12"/>
    </row>
    <row r="2" spans="1:5" x14ac:dyDescent="0.2">
      <c r="A2" s="13" t="s">
        <v>6</v>
      </c>
      <c r="B2" s="15">
        <v>0.04</v>
      </c>
      <c r="C2" s="14"/>
      <c r="D2" s="14"/>
      <c r="E2" s="15"/>
    </row>
    <row r="3" spans="1:5" ht="17" thickBot="1" x14ac:dyDescent="0.25">
      <c r="A3" s="16" t="s">
        <v>7</v>
      </c>
      <c r="B3" s="29">
        <f>-PV(B2,6,50,1000)</f>
        <v>1052.4213685674636</v>
      </c>
      <c r="C3" s="14"/>
      <c r="D3" s="14"/>
      <c r="E3" s="15"/>
    </row>
    <row r="4" spans="1:5" ht="17" thickBot="1" x14ac:dyDescent="0.25">
      <c r="A4" s="13"/>
      <c r="B4" s="14"/>
      <c r="C4" s="14"/>
      <c r="D4" s="14"/>
      <c r="E4" s="15"/>
    </row>
    <row r="5" spans="1:5" ht="17" thickBot="1" x14ac:dyDescent="0.25">
      <c r="A5" s="26" t="s">
        <v>0</v>
      </c>
      <c r="B5" s="27" t="s">
        <v>1</v>
      </c>
      <c r="C5" s="27" t="s">
        <v>2</v>
      </c>
      <c r="D5" s="27" t="s">
        <v>3</v>
      </c>
      <c r="E5" s="28" t="s">
        <v>4</v>
      </c>
    </row>
    <row r="6" spans="1:5" x14ac:dyDescent="0.2">
      <c r="A6" s="22">
        <v>1</v>
      </c>
      <c r="B6" s="23">
        <v>50</v>
      </c>
      <c r="C6" s="23">
        <f>B6/(1+$B$2)^A6</f>
        <v>48.076923076923073</v>
      </c>
      <c r="D6" s="30">
        <f>C6/$B$3</f>
        <v>4.5682199651993466E-2</v>
      </c>
      <c r="E6" s="33">
        <f>A6*D6</f>
        <v>4.5682199651993466E-2</v>
      </c>
    </row>
    <row r="7" spans="1:5" x14ac:dyDescent="0.2">
      <c r="A7" s="18">
        <v>2</v>
      </c>
      <c r="B7" s="19">
        <v>50</v>
      </c>
      <c r="C7" s="19">
        <f t="shared" ref="C7:C11" si="0">B7/(1+$B$2)^A7</f>
        <v>46.227810650887569</v>
      </c>
      <c r="D7" s="31">
        <f t="shared" ref="D7:D11" si="1">C7/$B$3</f>
        <v>4.392519197307064E-2</v>
      </c>
      <c r="E7" s="34">
        <f t="shared" ref="E7:E11" si="2">A7*D7</f>
        <v>8.7850383946141281E-2</v>
      </c>
    </row>
    <row r="8" spans="1:5" x14ac:dyDescent="0.2">
      <c r="A8" s="18">
        <v>3</v>
      </c>
      <c r="B8" s="19">
        <v>50</v>
      </c>
      <c r="C8" s="19">
        <f t="shared" si="0"/>
        <v>44.449817933545738</v>
      </c>
      <c r="D8" s="31">
        <f t="shared" si="1"/>
        <v>4.2235761512567922E-2</v>
      </c>
      <c r="E8" s="34">
        <f t="shared" si="2"/>
        <v>0.12670728453770377</v>
      </c>
    </row>
    <row r="9" spans="1:5" x14ac:dyDescent="0.2">
      <c r="A9" s="18">
        <v>4</v>
      </c>
      <c r="B9" s="19">
        <v>50</v>
      </c>
      <c r="C9" s="19">
        <f t="shared" si="0"/>
        <v>42.740209551486288</v>
      </c>
      <c r="D9" s="31">
        <f t="shared" si="1"/>
        <v>4.0611309146699928E-2</v>
      </c>
      <c r="E9" s="34">
        <f t="shared" si="2"/>
        <v>0.16244523658679971</v>
      </c>
    </row>
    <row r="10" spans="1:5" x14ac:dyDescent="0.2">
      <c r="A10" s="18">
        <v>5</v>
      </c>
      <c r="B10" s="19">
        <v>50</v>
      </c>
      <c r="C10" s="19">
        <f t="shared" si="0"/>
        <v>41.09635533796758</v>
      </c>
      <c r="D10" s="31">
        <f t="shared" si="1"/>
        <v>3.9049335717980693E-2</v>
      </c>
      <c r="E10" s="34">
        <f t="shared" si="2"/>
        <v>0.19524667858990347</v>
      </c>
    </row>
    <row r="11" spans="1:5" ht="17" thickBot="1" x14ac:dyDescent="0.25">
      <c r="A11" s="24">
        <v>6</v>
      </c>
      <c r="B11" s="25">
        <v>1050</v>
      </c>
      <c r="C11" s="25">
        <f t="shared" si="0"/>
        <v>829.83025201665305</v>
      </c>
      <c r="D11" s="32">
        <f t="shared" si="1"/>
        <v>0.78849620199768711</v>
      </c>
      <c r="E11" s="35">
        <f t="shared" si="2"/>
        <v>4.7309772119861222</v>
      </c>
    </row>
    <row r="12" spans="1:5" ht="17" thickBot="1" x14ac:dyDescent="0.25">
      <c r="A12" s="16"/>
      <c r="B12" s="17"/>
      <c r="C12" s="17"/>
      <c r="D12" s="21" t="s">
        <v>8</v>
      </c>
      <c r="E12" s="20">
        <f>SUM(E6:E11) / (1 + $B$2) / 2</f>
        <v>2.5715908631243574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19517-A07B-5343-B5DF-4E75CFD3946D}">
  <dimension ref="A1:Q69"/>
  <sheetViews>
    <sheetView workbookViewId="0">
      <selection activeCell="E13" sqref="E13"/>
    </sheetView>
  </sheetViews>
  <sheetFormatPr baseColWidth="10" defaultRowHeight="16" x14ac:dyDescent="0.2"/>
  <cols>
    <col min="2" max="2" width="12.1640625" bestFit="1" customWidth="1"/>
    <col min="3" max="3" width="19.6640625" bestFit="1" customWidth="1"/>
    <col min="4" max="4" width="12.1640625" bestFit="1" customWidth="1"/>
    <col min="5" max="5" width="16.33203125" bestFit="1" customWidth="1"/>
    <col min="6" max="6" width="9.6640625" bestFit="1" customWidth="1"/>
    <col min="7" max="7" width="19.6640625" bestFit="1" customWidth="1"/>
    <col min="8" max="8" width="12.1640625" bestFit="1" customWidth="1"/>
    <col min="9" max="9" width="16.33203125" bestFit="1" customWidth="1"/>
    <col min="10" max="10" width="9.6640625" bestFit="1" customWidth="1"/>
    <col min="11" max="11" width="19.6640625" bestFit="1" customWidth="1"/>
    <col min="12" max="12" width="12.1640625" bestFit="1" customWidth="1"/>
    <col min="13" max="13" width="16.33203125" bestFit="1" customWidth="1"/>
  </cols>
  <sheetData>
    <row r="1" spans="1:17" x14ac:dyDescent="0.2">
      <c r="B1" t="s">
        <v>13</v>
      </c>
      <c r="C1" t="s">
        <v>14</v>
      </c>
      <c r="D1" t="s">
        <v>15</v>
      </c>
      <c r="E1" t="s">
        <v>16</v>
      </c>
    </row>
    <row r="2" spans="1:17" x14ac:dyDescent="0.2">
      <c r="A2" t="s">
        <v>9</v>
      </c>
      <c r="B2">
        <v>5</v>
      </c>
      <c r="C2">
        <v>30</v>
      </c>
      <c r="D2">
        <v>30</v>
      </c>
      <c r="E2">
        <v>30</v>
      </c>
    </row>
    <row r="3" spans="1:17" x14ac:dyDescent="0.2">
      <c r="A3" t="s">
        <v>10</v>
      </c>
      <c r="B3">
        <v>0.12</v>
      </c>
      <c r="C3">
        <v>0.12</v>
      </c>
      <c r="D3">
        <v>0.03</v>
      </c>
      <c r="E3">
        <v>0.03</v>
      </c>
    </row>
    <row r="4" spans="1:17" x14ac:dyDescent="0.2">
      <c r="A4" t="s">
        <v>11</v>
      </c>
      <c r="B4">
        <v>0.1</v>
      </c>
      <c r="C4">
        <v>0.1</v>
      </c>
      <c r="D4">
        <v>0.1</v>
      </c>
      <c r="E4">
        <v>0.06</v>
      </c>
    </row>
    <row r="5" spans="1:17" x14ac:dyDescent="0.2">
      <c r="A5" t="s">
        <v>12</v>
      </c>
      <c r="B5">
        <v>1000</v>
      </c>
      <c r="C5">
        <v>1000</v>
      </c>
      <c r="D5">
        <v>1000</v>
      </c>
      <c r="E5">
        <v>1000</v>
      </c>
    </row>
    <row r="6" spans="1:17" x14ac:dyDescent="0.2">
      <c r="A6" t="s">
        <v>17</v>
      </c>
      <c r="B6">
        <f>SUM(E10:E69)/2/(1+B4/2)</f>
        <v>3.7581660479993224</v>
      </c>
      <c r="C6">
        <f>SUM(I10:I69)/2/(1+C4/2)</f>
        <v>9.2926279814031822</v>
      </c>
      <c r="D6">
        <f>SUM(M10:M69)/2/(1+D4/2)</f>
        <v>11.586355875395364</v>
      </c>
      <c r="E6">
        <f>SUM(Q10:Q69)/2/(1+E4/2)</f>
        <v>16.056196261220578</v>
      </c>
    </row>
    <row r="7" spans="1:17" ht="17" thickBot="1" x14ac:dyDescent="0.25"/>
    <row r="8" spans="1:17" s="3" customFormat="1" x14ac:dyDescent="0.2">
      <c r="A8" s="39"/>
      <c r="B8" s="36" t="s">
        <v>13</v>
      </c>
      <c r="C8" s="37"/>
      <c r="D8" s="37"/>
      <c r="E8" s="38"/>
      <c r="F8" s="36" t="s">
        <v>14</v>
      </c>
      <c r="G8" s="37"/>
      <c r="H8" s="37"/>
      <c r="I8" s="38"/>
      <c r="J8" s="36" t="s">
        <v>15</v>
      </c>
      <c r="K8" s="37"/>
      <c r="L8" s="37"/>
      <c r="M8" s="38"/>
      <c r="N8" s="36" t="s">
        <v>16</v>
      </c>
      <c r="O8" s="37"/>
      <c r="P8" s="37"/>
      <c r="Q8" s="38"/>
    </row>
    <row r="9" spans="1:17" x14ac:dyDescent="0.2">
      <c r="A9" s="42" t="s">
        <v>0</v>
      </c>
      <c r="B9" s="43" t="s">
        <v>1</v>
      </c>
      <c r="C9" s="44" t="s">
        <v>2</v>
      </c>
      <c r="D9" s="44" t="s">
        <v>3</v>
      </c>
      <c r="E9" s="45" t="s">
        <v>4</v>
      </c>
      <c r="F9" s="43" t="s">
        <v>1</v>
      </c>
      <c r="G9" s="44" t="s">
        <v>2</v>
      </c>
      <c r="H9" s="44" t="s">
        <v>3</v>
      </c>
      <c r="I9" s="45" t="s">
        <v>4</v>
      </c>
      <c r="J9" s="43" t="s">
        <v>1</v>
      </c>
      <c r="K9" s="44" t="s">
        <v>2</v>
      </c>
      <c r="L9" s="44" t="s">
        <v>3</v>
      </c>
      <c r="M9" s="45" t="s">
        <v>4</v>
      </c>
      <c r="N9" s="43" t="s">
        <v>1</v>
      </c>
      <c r="O9" s="44" t="s">
        <v>2</v>
      </c>
      <c r="P9" s="44" t="s">
        <v>3</v>
      </c>
      <c r="Q9" s="45" t="s">
        <v>4</v>
      </c>
    </row>
    <row r="10" spans="1:17" x14ac:dyDescent="0.2">
      <c r="A10" s="40">
        <v>1</v>
      </c>
      <c r="B10" s="4">
        <f>IF(A10=2*$B$2, $B$5 + $B$3/2*$B$5, IF(A10&gt;2*$B$2,0, $B$3/2*$B$5))</f>
        <v>60</v>
      </c>
      <c r="C10" s="5">
        <f>B10/(1+$B$4/2)^A10</f>
        <v>57.142857142857139</v>
      </c>
      <c r="D10" s="5">
        <f>C10/SUM($C$10:$C$69)</f>
        <v>5.3046729316439514E-2</v>
      </c>
      <c r="E10" s="6">
        <f>D10*A10</f>
        <v>5.3046729316439514E-2</v>
      </c>
      <c r="F10" s="4">
        <f>IF(A10=2*$C$2, $C$5 + $C$3/2*$C$5, IF(A10&gt;2*$C$2,0, $C$3/2*$C$5))</f>
        <v>60</v>
      </c>
      <c r="G10" s="5">
        <f>F10/(1+$C$4/2)^$A10</f>
        <v>57.142857142857139</v>
      </c>
      <c r="H10" s="5">
        <f>G10/SUM($G$10:$G$69)</f>
        <v>4.8047757933348735E-2</v>
      </c>
      <c r="I10" s="6">
        <f>H10*A10</f>
        <v>4.8047757933348735E-2</v>
      </c>
      <c r="J10" s="4">
        <f>IF(A10=2*$D$2, $D$5 + $D$3/2*$D$5, IF(A10&gt;2*$D$2,0, $D$3/2*$D$5))</f>
        <v>15</v>
      </c>
      <c r="K10" s="5">
        <f>J10/(1+$D$4/2)^A10</f>
        <v>14.285714285714285</v>
      </c>
      <c r="L10" s="5">
        <f>K10/SUM($K$10:$K$69)</f>
        <v>4.2331194701063085E-2</v>
      </c>
      <c r="M10" s="6">
        <f>L10*A10</f>
        <v>4.2331194701063085E-2</v>
      </c>
      <c r="N10" s="4">
        <f>IF(A10=2*$E$2, $E$5 + $E$3/2*$E$5, IF(A10&gt;2*$E$2,0, $E$3/2*$E$5))</f>
        <v>15</v>
      </c>
      <c r="O10" s="5">
        <f>N10/(1+$E$4/2)^A10</f>
        <v>14.563106796116504</v>
      </c>
      <c r="P10" s="5">
        <f>O10/SUM($O$10:$O$69)</f>
        <v>2.4899880016067761E-2</v>
      </c>
      <c r="Q10" s="6">
        <f>P10*A10</f>
        <v>2.4899880016067761E-2</v>
      </c>
    </row>
    <row r="11" spans="1:17" x14ac:dyDescent="0.2">
      <c r="A11" s="40">
        <v>2</v>
      </c>
      <c r="B11" s="4">
        <f t="shared" ref="B11:B69" si="0">IF(A11=2*$B$2, $B$5 + $B$3/2*$B$5, IF(A11&gt;2*$B$2,0, $B$3/2*$B$5))</f>
        <v>60</v>
      </c>
      <c r="C11" s="5">
        <f t="shared" ref="C11:C69" si="1">B11/(1+$B$4/2)^A11</f>
        <v>54.42176870748299</v>
      </c>
      <c r="D11" s="5">
        <f t="shared" ref="D11:D69" si="2">C11/SUM($C$10:$C$69)</f>
        <v>5.0520694587085253E-2</v>
      </c>
      <c r="E11" s="6">
        <f t="shared" ref="E11:E69" si="3">D11*A11</f>
        <v>0.10104138917417051</v>
      </c>
      <c r="F11" s="4">
        <f t="shared" ref="F11:F69" si="4">IF(A11=2*$C$2, $C$5 + $C$3/2*$C$5, IF(A11&gt;2*$C$2,0, $C$3/2*$C$5))</f>
        <v>60</v>
      </c>
      <c r="G11" s="5">
        <f t="shared" ref="G11:G69" si="5">F11/(1+$C$4/2)^$A11</f>
        <v>54.42176870748299</v>
      </c>
      <c r="H11" s="5">
        <f t="shared" ref="H11:H69" si="6">G11/SUM($G$10:$G$69)</f>
        <v>4.5759769460332125E-2</v>
      </c>
      <c r="I11" s="6">
        <f t="shared" ref="I11:I69" si="7">H11*A11</f>
        <v>9.1519538920664251E-2</v>
      </c>
      <c r="J11" s="4">
        <f t="shared" ref="J11:J69" si="8">IF(A11=2*$D$2, $D$5 + $D$3/2*$D$5, IF(A11&gt;2*$D$2,0, $D$3/2*$D$5))</f>
        <v>15</v>
      </c>
      <c r="K11" s="5">
        <f t="shared" ref="K11:K69" si="9">J11/(1+$D$4/2)^A11</f>
        <v>13.605442176870747</v>
      </c>
      <c r="L11" s="5">
        <f t="shared" ref="L11:L69" si="10">K11/SUM($K$10:$K$69)</f>
        <v>4.0315423524821987E-2</v>
      </c>
      <c r="M11" s="6">
        <f t="shared" ref="M11:M69" si="11">L11*A11</f>
        <v>8.0630847049643975E-2</v>
      </c>
      <c r="N11" s="4">
        <f t="shared" ref="N11:N69" si="12">IF(A11=2*$E$2, $E$5 + $E$3/2*$E$5, IF(A11&gt;2*$E$2,0, $E$3/2*$E$5))</f>
        <v>15</v>
      </c>
      <c r="O11" s="5">
        <f t="shared" ref="O11:O69" si="13">N11/(1+$E$4/2)^A11</f>
        <v>14.138938637006316</v>
      </c>
      <c r="P11" s="5">
        <f t="shared" ref="P11:P69" si="14">O11/SUM($O$10:$O$69)</f>
        <v>2.41746407922988E-2</v>
      </c>
      <c r="Q11" s="6">
        <f t="shared" ref="Q11:Q69" si="15">P11*A11</f>
        <v>4.83492815845976E-2</v>
      </c>
    </row>
    <row r="12" spans="1:17" x14ac:dyDescent="0.2">
      <c r="A12" s="40">
        <v>3</v>
      </c>
      <c r="B12" s="4">
        <f t="shared" si="0"/>
        <v>60</v>
      </c>
      <c r="C12" s="5">
        <f t="shared" si="1"/>
        <v>51.830255911888557</v>
      </c>
      <c r="D12" s="5">
        <f t="shared" si="2"/>
        <v>4.8114947225795478E-2</v>
      </c>
      <c r="E12" s="6">
        <f t="shared" si="3"/>
        <v>0.14434484167738643</v>
      </c>
      <c r="F12" s="4">
        <f t="shared" si="4"/>
        <v>60</v>
      </c>
      <c r="G12" s="5">
        <f t="shared" si="5"/>
        <v>51.830255911888557</v>
      </c>
      <c r="H12" s="5">
        <f t="shared" si="6"/>
        <v>4.3580732819363928E-2</v>
      </c>
      <c r="I12" s="6">
        <f t="shared" si="7"/>
        <v>0.13074219845809179</v>
      </c>
      <c r="J12" s="4">
        <f t="shared" si="8"/>
        <v>15</v>
      </c>
      <c r="K12" s="5">
        <f t="shared" si="9"/>
        <v>12.957563977972139</v>
      </c>
      <c r="L12" s="5">
        <f t="shared" si="10"/>
        <v>3.8395641452211415E-2</v>
      </c>
      <c r="M12" s="6">
        <f t="shared" si="11"/>
        <v>0.11518692435663425</v>
      </c>
      <c r="N12" s="4">
        <f t="shared" si="12"/>
        <v>15</v>
      </c>
      <c r="O12" s="5">
        <f t="shared" si="13"/>
        <v>13.727124890297393</v>
      </c>
      <c r="P12" s="5">
        <f t="shared" si="14"/>
        <v>2.3470525041066795E-2</v>
      </c>
      <c r="Q12" s="6">
        <f t="shared" si="15"/>
        <v>7.0411575123200384E-2</v>
      </c>
    </row>
    <row r="13" spans="1:17" x14ac:dyDescent="0.2">
      <c r="A13" s="40">
        <v>4</v>
      </c>
      <c r="B13" s="4">
        <f t="shared" si="0"/>
        <v>60</v>
      </c>
      <c r="C13" s="5">
        <f t="shared" si="1"/>
        <v>49.362148487512918</v>
      </c>
      <c r="D13" s="5">
        <f t="shared" si="2"/>
        <v>4.5823759262662363E-2</v>
      </c>
      <c r="E13" s="6">
        <f t="shared" si="3"/>
        <v>0.18329503705064945</v>
      </c>
      <c r="F13" s="4">
        <f t="shared" si="4"/>
        <v>60</v>
      </c>
      <c r="G13" s="5">
        <f t="shared" si="5"/>
        <v>49.362148487512918</v>
      </c>
      <c r="H13" s="5">
        <f t="shared" si="6"/>
        <v>4.1505459827965649E-2</v>
      </c>
      <c r="I13" s="6">
        <f t="shared" si="7"/>
        <v>0.1660218393118626</v>
      </c>
      <c r="J13" s="4">
        <f t="shared" si="8"/>
        <v>15</v>
      </c>
      <c r="K13" s="5">
        <f t="shared" si="9"/>
        <v>12.34053712187823</v>
      </c>
      <c r="L13" s="5">
        <f t="shared" si="10"/>
        <v>3.6567277573534687E-2</v>
      </c>
      <c r="M13" s="6">
        <f t="shared" si="11"/>
        <v>0.14626911029413875</v>
      </c>
      <c r="N13" s="4">
        <f t="shared" si="12"/>
        <v>15</v>
      </c>
      <c r="O13" s="5">
        <f t="shared" si="13"/>
        <v>13.327305718735335</v>
      </c>
      <c r="P13" s="5">
        <f t="shared" si="14"/>
        <v>2.2786917515598835E-2</v>
      </c>
      <c r="Q13" s="6">
        <f t="shared" si="15"/>
        <v>9.1147670062395339E-2</v>
      </c>
    </row>
    <row r="14" spans="1:17" x14ac:dyDescent="0.2">
      <c r="A14" s="40">
        <v>5</v>
      </c>
      <c r="B14" s="4">
        <f t="shared" si="0"/>
        <v>60</v>
      </c>
      <c r="C14" s="5">
        <f t="shared" si="1"/>
        <v>47.011569988107539</v>
      </c>
      <c r="D14" s="5">
        <f t="shared" si="2"/>
        <v>4.3641675488249869E-2</v>
      </c>
      <c r="E14" s="6">
        <f t="shared" si="3"/>
        <v>0.21820837744124935</v>
      </c>
      <c r="F14" s="4">
        <f t="shared" si="4"/>
        <v>60</v>
      </c>
      <c r="G14" s="5">
        <f t="shared" si="5"/>
        <v>47.011569988107539</v>
      </c>
      <c r="H14" s="5">
        <f t="shared" si="6"/>
        <v>3.9529009359967282E-2</v>
      </c>
      <c r="I14" s="6">
        <f t="shared" si="7"/>
        <v>0.19764504679983641</v>
      </c>
      <c r="J14" s="4">
        <f t="shared" si="8"/>
        <v>15</v>
      </c>
      <c r="K14" s="5">
        <f t="shared" si="9"/>
        <v>11.752892497026885</v>
      </c>
      <c r="L14" s="5">
        <f t="shared" si="10"/>
        <v>3.48259786414616E-2</v>
      </c>
      <c r="M14" s="6">
        <f t="shared" si="11"/>
        <v>0.17412989320730798</v>
      </c>
      <c r="N14" s="4">
        <f t="shared" si="12"/>
        <v>15</v>
      </c>
      <c r="O14" s="5">
        <f t="shared" si="13"/>
        <v>12.939131765762461</v>
      </c>
      <c r="P14" s="5">
        <f t="shared" si="14"/>
        <v>2.2123220888930907E-2</v>
      </c>
      <c r="Q14" s="6">
        <f t="shared" si="15"/>
        <v>0.11061610444465453</v>
      </c>
    </row>
    <row r="15" spans="1:17" x14ac:dyDescent="0.2">
      <c r="A15" s="40">
        <v>6</v>
      </c>
      <c r="B15" s="4">
        <f t="shared" si="0"/>
        <v>60</v>
      </c>
      <c r="C15" s="5">
        <f t="shared" si="1"/>
        <v>44.77292379819766</v>
      </c>
      <c r="D15" s="5">
        <f t="shared" si="2"/>
        <v>4.1563500464999875E-2</v>
      </c>
      <c r="E15" s="6">
        <f t="shared" si="3"/>
        <v>0.24938100278999925</v>
      </c>
      <c r="F15" s="4">
        <f t="shared" si="4"/>
        <v>60</v>
      </c>
      <c r="G15" s="5">
        <f t="shared" si="5"/>
        <v>44.77292379819766</v>
      </c>
      <c r="H15" s="5">
        <f t="shared" si="6"/>
        <v>3.7646675580921225E-2</v>
      </c>
      <c r="I15" s="6">
        <f t="shared" si="7"/>
        <v>0.22588005348552737</v>
      </c>
      <c r="J15" s="4">
        <f t="shared" si="8"/>
        <v>15</v>
      </c>
      <c r="K15" s="5">
        <f t="shared" si="9"/>
        <v>11.193230949549415</v>
      </c>
      <c r="L15" s="5">
        <f t="shared" si="10"/>
        <v>3.3167598706153913E-2</v>
      </c>
      <c r="M15" s="6">
        <f t="shared" si="11"/>
        <v>0.19900559223692349</v>
      </c>
      <c r="N15" s="4">
        <f t="shared" si="12"/>
        <v>15</v>
      </c>
      <c r="O15" s="5">
        <f t="shared" si="13"/>
        <v>12.562263850254816</v>
      </c>
      <c r="P15" s="5">
        <f t="shared" si="14"/>
        <v>2.1478855231971752E-2</v>
      </c>
      <c r="Q15" s="6">
        <f t="shared" si="15"/>
        <v>0.12887313139183051</v>
      </c>
    </row>
    <row r="16" spans="1:17" x14ac:dyDescent="0.2">
      <c r="A16" s="40">
        <v>7</v>
      </c>
      <c r="B16" s="4">
        <f t="shared" si="0"/>
        <v>60</v>
      </c>
      <c r="C16" s="5">
        <f t="shared" si="1"/>
        <v>42.640879807807288</v>
      </c>
      <c r="D16" s="5">
        <f t="shared" si="2"/>
        <v>3.9584286157142733E-2</v>
      </c>
      <c r="E16" s="6">
        <f t="shared" si="3"/>
        <v>0.27709000309999915</v>
      </c>
      <c r="F16" s="4">
        <f t="shared" si="4"/>
        <v>60</v>
      </c>
      <c r="G16" s="5">
        <f t="shared" si="5"/>
        <v>42.640879807807288</v>
      </c>
      <c r="H16" s="5">
        <f t="shared" si="6"/>
        <v>3.5853976743734493E-2</v>
      </c>
      <c r="I16" s="6">
        <f t="shared" si="7"/>
        <v>0.25097783720614147</v>
      </c>
      <c r="J16" s="4">
        <f t="shared" si="8"/>
        <v>15</v>
      </c>
      <c r="K16" s="5">
        <f t="shared" si="9"/>
        <v>10.660219951951822</v>
      </c>
      <c r="L16" s="5">
        <f t="shared" si="10"/>
        <v>3.1588189243956101E-2</v>
      </c>
      <c r="M16" s="6">
        <f t="shared" si="11"/>
        <v>0.22111732470769271</v>
      </c>
      <c r="N16" s="4">
        <f t="shared" si="12"/>
        <v>15</v>
      </c>
      <c r="O16" s="5">
        <f t="shared" si="13"/>
        <v>12.196372670150307</v>
      </c>
      <c r="P16" s="5">
        <f t="shared" si="14"/>
        <v>2.0853257506768693E-2</v>
      </c>
      <c r="Q16" s="6">
        <f t="shared" si="15"/>
        <v>0.14597280254738085</v>
      </c>
    </row>
    <row r="17" spans="1:17" x14ac:dyDescent="0.2">
      <c r="A17" s="40">
        <v>8</v>
      </c>
      <c r="B17" s="4">
        <f t="shared" si="0"/>
        <v>60</v>
      </c>
      <c r="C17" s="5">
        <f t="shared" si="1"/>
        <v>40.610361721721233</v>
      </c>
      <c r="D17" s="5">
        <f t="shared" si="2"/>
        <v>3.7699320149659751E-2</v>
      </c>
      <c r="E17" s="6">
        <f t="shared" si="3"/>
        <v>0.30159456119727801</v>
      </c>
      <c r="F17" s="4">
        <f t="shared" si="4"/>
        <v>60</v>
      </c>
      <c r="G17" s="5">
        <f t="shared" si="5"/>
        <v>40.610361721721233</v>
      </c>
      <c r="H17" s="5">
        <f t="shared" si="6"/>
        <v>3.4146644517842384E-2</v>
      </c>
      <c r="I17" s="6">
        <f t="shared" si="7"/>
        <v>0.27317315614273907</v>
      </c>
      <c r="J17" s="4">
        <f t="shared" si="8"/>
        <v>15</v>
      </c>
      <c r="K17" s="5">
        <f t="shared" si="9"/>
        <v>10.152590430430308</v>
      </c>
      <c r="L17" s="5">
        <f t="shared" si="10"/>
        <v>3.008398975614867E-2</v>
      </c>
      <c r="M17" s="6">
        <f t="shared" si="11"/>
        <v>0.24067191804918936</v>
      </c>
      <c r="N17" s="4">
        <f t="shared" si="12"/>
        <v>15</v>
      </c>
      <c r="O17" s="5">
        <f t="shared" si="13"/>
        <v>11.841138514709037</v>
      </c>
      <c r="P17" s="5">
        <f t="shared" si="14"/>
        <v>2.0245881074532714E-2</v>
      </c>
      <c r="Q17" s="6">
        <f t="shared" si="15"/>
        <v>0.16196704859626171</v>
      </c>
    </row>
    <row r="18" spans="1:17" x14ac:dyDescent="0.2">
      <c r="A18" s="40">
        <v>9</v>
      </c>
      <c r="B18" s="4">
        <f t="shared" si="0"/>
        <v>60</v>
      </c>
      <c r="C18" s="5">
        <f t="shared" si="1"/>
        <v>38.676534973067838</v>
      </c>
      <c r="D18" s="5">
        <f t="shared" si="2"/>
        <v>3.5904114428247383E-2</v>
      </c>
      <c r="E18" s="6">
        <f t="shared" si="3"/>
        <v>0.32313702985422643</v>
      </c>
      <c r="F18" s="4">
        <f t="shared" si="4"/>
        <v>60</v>
      </c>
      <c r="G18" s="5">
        <f t="shared" si="5"/>
        <v>38.676534973067838</v>
      </c>
      <c r="H18" s="5">
        <f t="shared" si="6"/>
        <v>3.2520613826516553E-2</v>
      </c>
      <c r="I18" s="6">
        <f t="shared" si="7"/>
        <v>0.29268552443864898</v>
      </c>
      <c r="J18" s="4">
        <f t="shared" si="8"/>
        <v>15</v>
      </c>
      <c r="K18" s="5">
        <f t="shared" si="9"/>
        <v>9.6691337432669595</v>
      </c>
      <c r="L18" s="5">
        <f t="shared" si="10"/>
        <v>2.8651418815379685E-2</v>
      </c>
      <c r="M18" s="6">
        <f t="shared" si="11"/>
        <v>0.25786276933841717</v>
      </c>
      <c r="N18" s="4">
        <f t="shared" si="12"/>
        <v>15</v>
      </c>
      <c r="O18" s="5">
        <f t="shared" si="13"/>
        <v>11.496250985154404</v>
      </c>
      <c r="P18" s="5">
        <f t="shared" si="14"/>
        <v>1.9656195217992924E-2</v>
      </c>
      <c r="Q18" s="6">
        <f t="shared" si="15"/>
        <v>0.17690575696193631</v>
      </c>
    </row>
    <row r="19" spans="1:17" x14ac:dyDescent="0.2">
      <c r="A19" s="40">
        <v>10</v>
      </c>
      <c r="B19" s="4">
        <f t="shared" si="0"/>
        <v>1060</v>
      </c>
      <c r="C19" s="5">
        <f t="shared" si="1"/>
        <v>650.7480487532049</v>
      </c>
      <c r="D19" s="5">
        <f t="shared" si="2"/>
        <v>0.60410097291971787</v>
      </c>
      <c r="E19" s="6">
        <f t="shared" si="3"/>
        <v>6.0410097291971789</v>
      </c>
      <c r="F19" s="4">
        <f t="shared" si="4"/>
        <v>60</v>
      </c>
      <c r="G19" s="5">
        <f t="shared" si="5"/>
        <v>36.834795212445556</v>
      </c>
      <c r="H19" s="5">
        <f t="shared" si="6"/>
        <v>3.0972013168111E-2</v>
      </c>
      <c r="I19" s="6">
        <f t="shared" si="7"/>
        <v>0.30972013168111001</v>
      </c>
      <c r="J19" s="4">
        <f t="shared" si="8"/>
        <v>15</v>
      </c>
      <c r="K19" s="5">
        <f t="shared" si="9"/>
        <v>9.208698803111389</v>
      </c>
      <c r="L19" s="5">
        <f t="shared" si="10"/>
        <v>2.7287065538456841E-2</v>
      </c>
      <c r="M19" s="6">
        <f t="shared" si="11"/>
        <v>0.27287065538456839</v>
      </c>
      <c r="N19" s="4">
        <f t="shared" si="12"/>
        <v>15</v>
      </c>
      <c r="O19" s="5">
        <f t="shared" si="13"/>
        <v>11.161408723450878</v>
      </c>
      <c r="P19" s="5">
        <f t="shared" si="14"/>
        <v>1.9083684677663033E-2</v>
      </c>
      <c r="Q19" s="6">
        <f t="shared" si="15"/>
        <v>0.19083684677663032</v>
      </c>
    </row>
    <row r="20" spans="1:17" x14ac:dyDescent="0.2">
      <c r="A20" s="40">
        <v>11</v>
      </c>
      <c r="B20" s="4">
        <f t="shared" si="0"/>
        <v>0</v>
      </c>
      <c r="C20" s="5">
        <f t="shared" si="1"/>
        <v>0</v>
      </c>
      <c r="D20" s="5">
        <f t="shared" si="2"/>
        <v>0</v>
      </c>
      <c r="E20" s="6">
        <f t="shared" si="3"/>
        <v>0</v>
      </c>
      <c r="F20" s="4">
        <f t="shared" si="4"/>
        <v>60</v>
      </c>
      <c r="G20" s="5">
        <f t="shared" si="5"/>
        <v>35.080757345186242</v>
      </c>
      <c r="H20" s="5">
        <f t="shared" si="6"/>
        <v>2.9497155398200952E-2</v>
      </c>
      <c r="I20" s="6">
        <f t="shared" si="7"/>
        <v>0.3244687093802105</v>
      </c>
      <c r="J20" s="4">
        <f t="shared" si="8"/>
        <v>15</v>
      </c>
      <c r="K20" s="5">
        <f t="shared" si="9"/>
        <v>8.7701893362965606</v>
      </c>
      <c r="L20" s="5">
        <f t="shared" si="10"/>
        <v>2.5987681465196987E-2</v>
      </c>
      <c r="M20" s="6">
        <f t="shared" si="11"/>
        <v>0.28586449611716686</v>
      </c>
      <c r="N20" s="4">
        <f t="shared" si="12"/>
        <v>15</v>
      </c>
      <c r="O20" s="5">
        <f t="shared" si="13"/>
        <v>10.836319148981435</v>
      </c>
      <c r="P20" s="5">
        <f t="shared" si="14"/>
        <v>1.8527849201614596E-2</v>
      </c>
      <c r="Q20" s="6">
        <f t="shared" si="15"/>
        <v>0.20380634121776056</v>
      </c>
    </row>
    <row r="21" spans="1:17" x14ac:dyDescent="0.2">
      <c r="A21" s="40">
        <v>12</v>
      </c>
      <c r="B21" s="4">
        <f t="shared" si="0"/>
        <v>0</v>
      </c>
      <c r="C21" s="5">
        <f t="shared" si="1"/>
        <v>0</v>
      </c>
      <c r="D21" s="5">
        <f t="shared" si="2"/>
        <v>0</v>
      </c>
      <c r="E21" s="6">
        <f t="shared" si="3"/>
        <v>0</v>
      </c>
      <c r="F21" s="4">
        <f t="shared" si="4"/>
        <v>60</v>
      </c>
      <c r="G21" s="5">
        <f t="shared" si="5"/>
        <v>33.410245090653568</v>
      </c>
      <c r="H21" s="5">
        <f t="shared" si="6"/>
        <v>2.8092528950667574E-2</v>
      </c>
      <c r="I21" s="6">
        <f t="shared" si="7"/>
        <v>0.33711034740801088</v>
      </c>
      <c r="J21" s="4">
        <f t="shared" si="8"/>
        <v>15</v>
      </c>
      <c r="K21" s="5">
        <f t="shared" si="9"/>
        <v>8.352561272663392</v>
      </c>
      <c r="L21" s="5">
        <f t="shared" si="10"/>
        <v>2.4750172823997135E-2</v>
      </c>
      <c r="M21" s="6">
        <f t="shared" si="11"/>
        <v>0.29700207388796562</v>
      </c>
      <c r="N21" s="4">
        <f t="shared" si="12"/>
        <v>15</v>
      </c>
      <c r="O21" s="5">
        <f t="shared" si="13"/>
        <v>10.520698202894598</v>
      </c>
      <c r="P21" s="5">
        <f t="shared" si="14"/>
        <v>1.7988203108363687E-2</v>
      </c>
      <c r="Q21" s="6">
        <f t="shared" si="15"/>
        <v>0.21585843730036425</v>
      </c>
    </row>
    <row r="22" spans="1:17" x14ac:dyDescent="0.2">
      <c r="A22" s="40">
        <v>13</v>
      </c>
      <c r="B22" s="4">
        <f t="shared" si="0"/>
        <v>0</v>
      </c>
      <c r="C22" s="5">
        <f t="shared" si="1"/>
        <v>0</v>
      </c>
      <c r="D22" s="5">
        <f t="shared" si="2"/>
        <v>0</v>
      </c>
      <c r="E22" s="6">
        <f t="shared" si="3"/>
        <v>0</v>
      </c>
      <c r="F22" s="4">
        <f t="shared" si="4"/>
        <v>60</v>
      </c>
      <c r="G22" s="5">
        <f t="shared" si="5"/>
        <v>31.81928103871768</v>
      </c>
      <c r="H22" s="5">
        <f t="shared" si="6"/>
        <v>2.675478947682626E-2</v>
      </c>
      <c r="I22" s="6">
        <f t="shared" si="7"/>
        <v>0.34781226319874137</v>
      </c>
      <c r="J22" s="4">
        <f t="shared" si="8"/>
        <v>15</v>
      </c>
      <c r="K22" s="5">
        <f t="shared" si="9"/>
        <v>7.95482025967942</v>
      </c>
      <c r="L22" s="5">
        <f t="shared" si="10"/>
        <v>2.3571593165711554E-2</v>
      </c>
      <c r="M22" s="6">
        <f t="shared" si="11"/>
        <v>0.30643071115425019</v>
      </c>
      <c r="N22" s="4">
        <f t="shared" si="12"/>
        <v>15</v>
      </c>
      <c r="O22" s="5">
        <f t="shared" si="13"/>
        <v>10.214270099897668</v>
      </c>
      <c r="P22" s="5">
        <f t="shared" si="14"/>
        <v>1.7464274862489016E-2</v>
      </c>
      <c r="Q22" s="6">
        <f t="shared" si="15"/>
        <v>0.22703557321235721</v>
      </c>
    </row>
    <row r="23" spans="1:17" x14ac:dyDescent="0.2">
      <c r="A23" s="40">
        <v>14</v>
      </c>
      <c r="B23" s="4">
        <f t="shared" si="0"/>
        <v>0</v>
      </c>
      <c r="C23" s="5">
        <f t="shared" si="1"/>
        <v>0</v>
      </c>
      <c r="D23" s="5">
        <f t="shared" si="2"/>
        <v>0</v>
      </c>
      <c r="E23" s="6">
        <f t="shared" si="3"/>
        <v>0</v>
      </c>
      <c r="F23" s="4">
        <f t="shared" si="4"/>
        <v>60</v>
      </c>
      <c r="G23" s="5">
        <f t="shared" si="5"/>
        <v>30.304077179731131</v>
      </c>
      <c r="H23" s="5">
        <f t="shared" si="6"/>
        <v>2.548075188269168E-2</v>
      </c>
      <c r="I23" s="6">
        <f t="shared" si="7"/>
        <v>0.35673052635768354</v>
      </c>
      <c r="J23" s="4">
        <f t="shared" si="8"/>
        <v>15</v>
      </c>
      <c r="K23" s="5">
        <f t="shared" si="9"/>
        <v>7.5760192949327827</v>
      </c>
      <c r="L23" s="5">
        <f t="shared" si="10"/>
        <v>2.2449136348296723E-2</v>
      </c>
      <c r="M23" s="6">
        <f t="shared" si="11"/>
        <v>0.3142879088761541</v>
      </c>
      <c r="N23" s="4">
        <f t="shared" si="12"/>
        <v>15</v>
      </c>
      <c r="O23" s="5">
        <f t="shared" si="13"/>
        <v>9.9167670872792879</v>
      </c>
      <c r="P23" s="5">
        <f t="shared" si="14"/>
        <v>1.6955606662610694E-2</v>
      </c>
      <c r="Q23" s="6">
        <f t="shared" si="15"/>
        <v>0.2373784932765497</v>
      </c>
    </row>
    <row r="24" spans="1:17" x14ac:dyDescent="0.2">
      <c r="A24" s="40">
        <v>15</v>
      </c>
      <c r="B24" s="4">
        <f t="shared" si="0"/>
        <v>0</v>
      </c>
      <c r="C24" s="5">
        <f t="shared" si="1"/>
        <v>0</v>
      </c>
      <c r="D24" s="5">
        <f t="shared" si="2"/>
        <v>0</v>
      </c>
      <c r="E24" s="6">
        <f t="shared" si="3"/>
        <v>0</v>
      </c>
      <c r="F24" s="4">
        <f t="shared" si="4"/>
        <v>60</v>
      </c>
      <c r="G24" s="5">
        <f t="shared" si="5"/>
        <v>28.861025885458211</v>
      </c>
      <c r="H24" s="5">
        <f t="shared" si="6"/>
        <v>2.4267382745420642E-2</v>
      </c>
      <c r="I24" s="6">
        <f t="shared" si="7"/>
        <v>0.36401074118130966</v>
      </c>
      <c r="J24" s="4">
        <f t="shared" si="8"/>
        <v>15</v>
      </c>
      <c r="K24" s="5">
        <f t="shared" si="9"/>
        <v>7.2152564713645528</v>
      </c>
      <c r="L24" s="5">
        <f t="shared" si="10"/>
        <v>2.1380129855520683E-2</v>
      </c>
      <c r="M24" s="6">
        <f t="shared" si="11"/>
        <v>0.32070194783281025</v>
      </c>
      <c r="N24" s="4">
        <f t="shared" si="12"/>
        <v>15</v>
      </c>
      <c r="O24" s="5">
        <f t="shared" si="13"/>
        <v>9.6279292109507644</v>
      </c>
      <c r="P24" s="5">
        <f t="shared" si="14"/>
        <v>1.6461754041369604E-2</v>
      </c>
      <c r="Q24" s="6">
        <f t="shared" si="15"/>
        <v>0.24692631062054407</v>
      </c>
    </row>
    <row r="25" spans="1:17" x14ac:dyDescent="0.2">
      <c r="A25" s="40">
        <v>16</v>
      </c>
      <c r="B25" s="4">
        <f t="shared" si="0"/>
        <v>0</v>
      </c>
      <c r="C25" s="5">
        <f t="shared" si="1"/>
        <v>0</v>
      </c>
      <c r="D25" s="5">
        <f t="shared" si="2"/>
        <v>0</v>
      </c>
      <c r="E25" s="6">
        <f t="shared" si="3"/>
        <v>0</v>
      </c>
      <c r="F25" s="4">
        <f t="shared" si="4"/>
        <v>60</v>
      </c>
      <c r="G25" s="5">
        <f t="shared" si="5"/>
        <v>27.486691319484013</v>
      </c>
      <c r="H25" s="5">
        <f t="shared" si="6"/>
        <v>2.3111793090876805E-2</v>
      </c>
      <c r="I25" s="6">
        <f t="shared" si="7"/>
        <v>0.36978868945402887</v>
      </c>
      <c r="J25" s="4">
        <f t="shared" si="8"/>
        <v>15</v>
      </c>
      <c r="K25" s="5">
        <f t="shared" si="9"/>
        <v>6.8716728298710033</v>
      </c>
      <c r="L25" s="5">
        <f t="shared" si="10"/>
        <v>2.0362028433829223E-2</v>
      </c>
      <c r="M25" s="6">
        <f t="shared" si="11"/>
        <v>0.32579245494126757</v>
      </c>
      <c r="N25" s="4">
        <f t="shared" si="12"/>
        <v>15</v>
      </c>
      <c r="O25" s="5">
        <f t="shared" si="13"/>
        <v>9.3475040883017151</v>
      </c>
      <c r="P25" s="5">
        <f t="shared" si="14"/>
        <v>1.5982285477057871E-2</v>
      </c>
      <c r="Q25" s="6">
        <f t="shared" si="15"/>
        <v>0.25571656763292594</v>
      </c>
    </row>
    <row r="26" spans="1:17" x14ac:dyDescent="0.2">
      <c r="A26" s="40">
        <v>17</v>
      </c>
      <c r="B26" s="4">
        <f t="shared" si="0"/>
        <v>0</v>
      </c>
      <c r="C26" s="5">
        <f t="shared" si="1"/>
        <v>0</v>
      </c>
      <c r="D26" s="5">
        <f t="shared" si="2"/>
        <v>0</v>
      </c>
      <c r="E26" s="6">
        <f t="shared" si="3"/>
        <v>0</v>
      </c>
      <c r="F26" s="4">
        <f t="shared" si="4"/>
        <v>60</v>
      </c>
      <c r="G26" s="5">
        <f t="shared" si="5"/>
        <v>26.177801256651438</v>
      </c>
      <c r="H26" s="5">
        <f t="shared" si="6"/>
        <v>2.2011231515120761E-2</v>
      </c>
      <c r="I26" s="6">
        <f t="shared" si="7"/>
        <v>0.37419093575705292</v>
      </c>
      <c r="J26" s="4">
        <f t="shared" si="8"/>
        <v>15</v>
      </c>
      <c r="K26" s="5">
        <f t="shared" si="9"/>
        <v>6.5444503141628596</v>
      </c>
      <c r="L26" s="5">
        <f t="shared" si="10"/>
        <v>1.9392408032218308E-2</v>
      </c>
      <c r="M26" s="6">
        <f t="shared" si="11"/>
        <v>0.32967093654771124</v>
      </c>
      <c r="N26" s="4">
        <f t="shared" si="12"/>
        <v>15</v>
      </c>
      <c r="O26" s="5">
        <f t="shared" si="13"/>
        <v>9.0752466876715676</v>
      </c>
      <c r="P26" s="5">
        <f t="shared" si="14"/>
        <v>1.5516782016561039E-2</v>
      </c>
      <c r="Q26" s="6">
        <f t="shared" si="15"/>
        <v>0.26378529428153769</v>
      </c>
    </row>
    <row r="27" spans="1:17" x14ac:dyDescent="0.2">
      <c r="A27" s="40">
        <v>18</v>
      </c>
      <c r="B27" s="4">
        <f t="shared" si="0"/>
        <v>0</v>
      </c>
      <c r="C27" s="5">
        <f t="shared" si="1"/>
        <v>0</v>
      </c>
      <c r="D27" s="5">
        <f t="shared" si="2"/>
        <v>0</v>
      </c>
      <c r="E27" s="6">
        <f t="shared" si="3"/>
        <v>0</v>
      </c>
      <c r="F27" s="4">
        <f t="shared" si="4"/>
        <v>60</v>
      </c>
      <c r="G27" s="5">
        <f t="shared" si="5"/>
        <v>24.931239292048989</v>
      </c>
      <c r="H27" s="5">
        <f t="shared" si="6"/>
        <v>2.0963077633448346E-2</v>
      </c>
      <c r="I27" s="6">
        <f t="shared" si="7"/>
        <v>0.37733539740207023</v>
      </c>
      <c r="J27" s="4">
        <f t="shared" si="8"/>
        <v>15</v>
      </c>
      <c r="K27" s="5">
        <f t="shared" si="9"/>
        <v>6.2328098230122473</v>
      </c>
      <c r="L27" s="5">
        <f t="shared" si="10"/>
        <v>1.8468960030684101E-2</v>
      </c>
      <c r="M27" s="6">
        <f t="shared" si="11"/>
        <v>0.33244128055231381</v>
      </c>
      <c r="N27" s="4">
        <f t="shared" si="12"/>
        <v>15</v>
      </c>
      <c r="O27" s="5">
        <f t="shared" si="13"/>
        <v>8.8109191142442409</v>
      </c>
      <c r="P27" s="5">
        <f t="shared" si="14"/>
        <v>1.5064836909282562E-2</v>
      </c>
      <c r="Q27" s="6">
        <f t="shared" si="15"/>
        <v>0.2711670643670861</v>
      </c>
    </row>
    <row r="28" spans="1:17" x14ac:dyDescent="0.2">
      <c r="A28" s="40">
        <v>19</v>
      </c>
      <c r="B28" s="4">
        <f t="shared" si="0"/>
        <v>0</v>
      </c>
      <c r="C28" s="5">
        <f t="shared" si="1"/>
        <v>0</v>
      </c>
      <c r="D28" s="5">
        <f t="shared" si="2"/>
        <v>0</v>
      </c>
      <c r="E28" s="6">
        <f t="shared" si="3"/>
        <v>0</v>
      </c>
      <c r="F28" s="4">
        <f t="shared" si="4"/>
        <v>60</v>
      </c>
      <c r="G28" s="5">
        <f t="shared" si="5"/>
        <v>23.744037420999035</v>
      </c>
      <c r="H28" s="5">
        <f t="shared" si="6"/>
        <v>1.9964835841379376E-2</v>
      </c>
      <c r="I28" s="6">
        <f t="shared" si="7"/>
        <v>0.37933188098620813</v>
      </c>
      <c r="J28" s="4">
        <f t="shared" si="8"/>
        <v>15</v>
      </c>
      <c r="K28" s="5">
        <f t="shared" si="9"/>
        <v>5.9360093552497588</v>
      </c>
      <c r="L28" s="5">
        <f t="shared" si="10"/>
        <v>1.7589485743508666E-2</v>
      </c>
      <c r="M28" s="6">
        <f t="shared" si="11"/>
        <v>0.33420022912666464</v>
      </c>
      <c r="N28" s="4">
        <f t="shared" si="12"/>
        <v>15</v>
      </c>
      <c r="O28" s="5">
        <f t="shared" si="13"/>
        <v>8.554290402178875</v>
      </c>
      <c r="P28" s="5">
        <f t="shared" si="14"/>
        <v>1.4626055251730644E-2</v>
      </c>
      <c r="Q28" s="6">
        <f t="shared" si="15"/>
        <v>0.27789504978288221</v>
      </c>
    </row>
    <row r="29" spans="1:17" x14ac:dyDescent="0.2">
      <c r="A29" s="40">
        <v>20</v>
      </c>
      <c r="B29" s="4">
        <f t="shared" si="0"/>
        <v>0</v>
      </c>
      <c r="C29" s="5">
        <f t="shared" si="1"/>
        <v>0</v>
      </c>
      <c r="D29" s="5">
        <f t="shared" si="2"/>
        <v>0</v>
      </c>
      <c r="E29" s="6">
        <f t="shared" si="3"/>
        <v>0</v>
      </c>
      <c r="F29" s="4">
        <f t="shared" si="4"/>
        <v>60</v>
      </c>
      <c r="G29" s="5">
        <f t="shared" si="5"/>
        <v>22.613368972380037</v>
      </c>
      <c r="H29" s="5">
        <f t="shared" si="6"/>
        <v>1.9014129372742265E-2</v>
      </c>
      <c r="I29" s="6">
        <f t="shared" si="7"/>
        <v>0.38028258745484533</v>
      </c>
      <c r="J29" s="4">
        <f t="shared" si="8"/>
        <v>15</v>
      </c>
      <c r="K29" s="5">
        <f t="shared" si="9"/>
        <v>5.6533422430950093</v>
      </c>
      <c r="L29" s="5">
        <f t="shared" si="10"/>
        <v>1.675189118429397E-2</v>
      </c>
      <c r="M29" s="6">
        <f t="shared" si="11"/>
        <v>0.33503782368587942</v>
      </c>
      <c r="N29" s="4">
        <f t="shared" si="12"/>
        <v>15</v>
      </c>
      <c r="O29" s="5">
        <f t="shared" si="13"/>
        <v>8.3051363127950246</v>
      </c>
      <c r="P29" s="5">
        <f t="shared" si="14"/>
        <v>1.4200053642456937E-2</v>
      </c>
      <c r="Q29" s="6">
        <f t="shared" si="15"/>
        <v>0.28400107284913872</v>
      </c>
    </row>
    <row r="30" spans="1:17" x14ac:dyDescent="0.2">
      <c r="A30" s="40">
        <v>21</v>
      </c>
      <c r="B30" s="4">
        <f t="shared" si="0"/>
        <v>0</v>
      </c>
      <c r="C30" s="5">
        <f t="shared" si="1"/>
        <v>0</v>
      </c>
      <c r="D30" s="5">
        <f t="shared" si="2"/>
        <v>0</v>
      </c>
      <c r="E30" s="6">
        <f t="shared" si="3"/>
        <v>0</v>
      </c>
      <c r="F30" s="4">
        <f t="shared" si="4"/>
        <v>60</v>
      </c>
      <c r="G30" s="5">
        <f t="shared" si="5"/>
        <v>21.536541878457179</v>
      </c>
      <c r="H30" s="5">
        <f t="shared" si="6"/>
        <v>1.810869464070692E-2</v>
      </c>
      <c r="I30" s="6">
        <f t="shared" si="7"/>
        <v>0.38028258745484533</v>
      </c>
      <c r="J30" s="4">
        <f t="shared" si="8"/>
        <v>15</v>
      </c>
      <c r="K30" s="5">
        <f t="shared" si="9"/>
        <v>5.3841354696142947</v>
      </c>
      <c r="L30" s="5">
        <f t="shared" si="10"/>
        <v>1.5954182080279971E-2</v>
      </c>
      <c r="M30" s="6">
        <f t="shared" si="11"/>
        <v>0.33503782368587937</v>
      </c>
      <c r="N30" s="4">
        <f t="shared" si="12"/>
        <v>15</v>
      </c>
      <c r="O30" s="5">
        <f t="shared" si="13"/>
        <v>8.0632391386359465</v>
      </c>
      <c r="P30" s="5">
        <f t="shared" si="14"/>
        <v>1.378645984704557E-2</v>
      </c>
      <c r="Q30" s="6">
        <f t="shared" si="15"/>
        <v>0.28951565678795699</v>
      </c>
    </row>
    <row r="31" spans="1:17" x14ac:dyDescent="0.2">
      <c r="A31" s="40">
        <v>22</v>
      </c>
      <c r="B31" s="4">
        <f t="shared" si="0"/>
        <v>0</v>
      </c>
      <c r="C31" s="5">
        <f t="shared" si="1"/>
        <v>0</v>
      </c>
      <c r="D31" s="5">
        <f t="shared" si="2"/>
        <v>0</v>
      </c>
      <c r="E31" s="6">
        <f t="shared" si="3"/>
        <v>0</v>
      </c>
      <c r="F31" s="4">
        <f t="shared" si="4"/>
        <v>60</v>
      </c>
      <c r="G31" s="5">
        <f t="shared" si="5"/>
        <v>20.510992265197313</v>
      </c>
      <c r="H31" s="5">
        <f t="shared" si="6"/>
        <v>1.7246375848292302E-2</v>
      </c>
      <c r="I31" s="6">
        <f t="shared" si="7"/>
        <v>0.37942026866243067</v>
      </c>
      <c r="J31" s="4">
        <f t="shared" si="8"/>
        <v>15</v>
      </c>
      <c r="K31" s="5">
        <f t="shared" si="9"/>
        <v>5.1277480662993282</v>
      </c>
      <c r="L31" s="5">
        <f t="shared" si="10"/>
        <v>1.5194459124076165E-2</v>
      </c>
      <c r="M31" s="6">
        <f t="shared" si="11"/>
        <v>0.33427810072967562</v>
      </c>
      <c r="N31" s="4">
        <f t="shared" si="12"/>
        <v>15</v>
      </c>
      <c r="O31" s="5">
        <f t="shared" si="13"/>
        <v>7.8283875132387832</v>
      </c>
      <c r="P31" s="5">
        <f t="shared" si="14"/>
        <v>1.3384912472859776E-2</v>
      </c>
      <c r="Q31" s="6">
        <f t="shared" si="15"/>
        <v>0.29446807440291506</v>
      </c>
    </row>
    <row r="32" spans="1:17" x14ac:dyDescent="0.2">
      <c r="A32" s="40">
        <v>23</v>
      </c>
      <c r="B32" s="4">
        <f t="shared" si="0"/>
        <v>0</v>
      </c>
      <c r="C32" s="5">
        <f t="shared" si="1"/>
        <v>0</v>
      </c>
      <c r="D32" s="5">
        <f t="shared" si="2"/>
        <v>0</v>
      </c>
      <c r="E32" s="6">
        <f t="shared" si="3"/>
        <v>0</v>
      </c>
      <c r="F32" s="4">
        <f t="shared" si="4"/>
        <v>60</v>
      </c>
      <c r="G32" s="5">
        <f t="shared" si="5"/>
        <v>19.534278347806961</v>
      </c>
      <c r="H32" s="5">
        <f t="shared" si="6"/>
        <v>1.6425119855516476E-2</v>
      </c>
      <c r="I32" s="6">
        <f t="shared" si="7"/>
        <v>0.37777775667687896</v>
      </c>
      <c r="J32" s="4">
        <f t="shared" si="8"/>
        <v>15</v>
      </c>
      <c r="K32" s="5">
        <f t="shared" si="9"/>
        <v>4.8835695869517401</v>
      </c>
      <c r="L32" s="5">
        <f t="shared" si="10"/>
        <v>1.4470913451501106E-2</v>
      </c>
      <c r="M32" s="6">
        <f t="shared" si="11"/>
        <v>0.33283100938452542</v>
      </c>
      <c r="N32" s="4">
        <f t="shared" si="12"/>
        <v>15</v>
      </c>
      <c r="O32" s="5">
        <f t="shared" si="13"/>
        <v>7.6003762264454195</v>
      </c>
      <c r="P32" s="5">
        <f t="shared" si="14"/>
        <v>1.2995060653261918E-2</v>
      </c>
      <c r="Q32" s="6">
        <f t="shared" si="15"/>
        <v>0.29888639502502412</v>
      </c>
    </row>
    <row r="33" spans="1:17" x14ac:dyDescent="0.2">
      <c r="A33" s="40">
        <v>24</v>
      </c>
      <c r="B33" s="4">
        <f t="shared" si="0"/>
        <v>0</v>
      </c>
      <c r="C33" s="5">
        <f t="shared" si="1"/>
        <v>0</v>
      </c>
      <c r="D33" s="5">
        <f t="shared" si="2"/>
        <v>0</v>
      </c>
      <c r="E33" s="6">
        <f t="shared" si="3"/>
        <v>0</v>
      </c>
      <c r="F33" s="4">
        <f t="shared" si="4"/>
        <v>60</v>
      </c>
      <c r="G33" s="5">
        <f t="shared" si="5"/>
        <v>18.604074616959014</v>
      </c>
      <c r="H33" s="5">
        <f t="shared" si="6"/>
        <v>1.5642971290968078E-2</v>
      </c>
      <c r="I33" s="6">
        <f t="shared" si="7"/>
        <v>0.3754313109832339</v>
      </c>
      <c r="J33" s="4">
        <f t="shared" si="8"/>
        <v>15</v>
      </c>
      <c r="K33" s="5">
        <f t="shared" si="9"/>
        <v>4.6510186542397536</v>
      </c>
      <c r="L33" s="5">
        <f t="shared" si="10"/>
        <v>1.3781822334762961E-2</v>
      </c>
      <c r="M33" s="6">
        <f t="shared" si="11"/>
        <v>0.33076373603431108</v>
      </c>
      <c r="N33" s="4">
        <f t="shared" si="12"/>
        <v>15</v>
      </c>
      <c r="O33" s="5">
        <f t="shared" si="13"/>
        <v>7.379006045092642</v>
      </c>
      <c r="P33" s="5">
        <f t="shared" si="14"/>
        <v>1.2616563741030991E-2</v>
      </c>
      <c r="Q33" s="6">
        <f t="shared" si="15"/>
        <v>0.30279752978474378</v>
      </c>
    </row>
    <row r="34" spans="1:17" x14ac:dyDescent="0.2">
      <c r="A34" s="40">
        <v>25</v>
      </c>
      <c r="B34" s="4">
        <f t="shared" si="0"/>
        <v>0</v>
      </c>
      <c r="C34" s="5">
        <f t="shared" si="1"/>
        <v>0</v>
      </c>
      <c r="D34" s="5">
        <f t="shared" si="2"/>
        <v>0</v>
      </c>
      <c r="E34" s="6">
        <f t="shared" si="3"/>
        <v>0</v>
      </c>
      <c r="F34" s="4">
        <f t="shared" si="4"/>
        <v>60</v>
      </c>
      <c r="G34" s="5">
        <f t="shared" si="5"/>
        <v>17.718166301865725</v>
      </c>
      <c r="H34" s="5">
        <f t="shared" si="6"/>
        <v>1.4898067896160071E-2</v>
      </c>
      <c r="I34" s="6">
        <f t="shared" si="7"/>
        <v>0.37245169740400175</v>
      </c>
      <c r="J34" s="4">
        <f t="shared" si="8"/>
        <v>15</v>
      </c>
      <c r="K34" s="5">
        <f t="shared" si="9"/>
        <v>4.4295415754664313</v>
      </c>
      <c r="L34" s="5">
        <f t="shared" si="10"/>
        <v>1.3125545080726627E-2</v>
      </c>
      <c r="M34" s="6">
        <f t="shared" si="11"/>
        <v>0.32813862701816571</v>
      </c>
      <c r="N34" s="4">
        <f t="shared" si="12"/>
        <v>15</v>
      </c>
      <c r="O34" s="5">
        <f t="shared" si="13"/>
        <v>7.1640835389248947</v>
      </c>
      <c r="P34" s="5">
        <f t="shared" si="14"/>
        <v>1.2249091010709699E-2</v>
      </c>
      <c r="Q34" s="6">
        <f t="shared" si="15"/>
        <v>0.30622727526774246</v>
      </c>
    </row>
    <row r="35" spans="1:17" x14ac:dyDescent="0.2">
      <c r="A35" s="40">
        <v>26</v>
      </c>
      <c r="B35" s="4">
        <f t="shared" si="0"/>
        <v>0</v>
      </c>
      <c r="C35" s="5">
        <f t="shared" si="1"/>
        <v>0</v>
      </c>
      <c r="D35" s="5">
        <f t="shared" si="2"/>
        <v>0</v>
      </c>
      <c r="E35" s="6">
        <f t="shared" si="3"/>
        <v>0</v>
      </c>
      <c r="F35" s="4">
        <f t="shared" si="4"/>
        <v>60</v>
      </c>
      <c r="G35" s="5">
        <f t="shared" si="5"/>
        <v>16.874444097014976</v>
      </c>
      <c r="H35" s="5">
        <f t="shared" si="6"/>
        <v>1.418863609158102E-2</v>
      </c>
      <c r="I35" s="6">
        <f t="shared" si="7"/>
        <v>0.36890453838110654</v>
      </c>
      <c r="J35" s="4">
        <f t="shared" si="8"/>
        <v>15</v>
      </c>
      <c r="K35" s="5">
        <f t="shared" si="9"/>
        <v>4.218611024253744</v>
      </c>
      <c r="L35" s="5">
        <f t="shared" si="10"/>
        <v>1.250051912450155E-2</v>
      </c>
      <c r="M35" s="6">
        <f t="shared" si="11"/>
        <v>0.32501349723704032</v>
      </c>
      <c r="N35" s="4">
        <f t="shared" si="12"/>
        <v>15</v>
      </c>
      <c r="O35" s="5">
        <f t="shared" si="13"/>
        <v>6.9554209115775665</v>
      </c>
      <c r="P35" s="5">
        <f t="shared" si="14"/>
        <v>1.1892321369621065E-2</v>
      </c>
      <c r="Q35" s="6">
        <f t="shared" si="15"/>
        <v>0.30920035561014769</v>
      </c>
    </row>
    <row r="36" spans="1:17" x14ac:dyDescent="0.2">
      <c r="A36" s="40">
        <v>27</v>
      </c>
      <c r="B36" s="4">
        <f t="shared" si="0"/>
        <v>0</v>
      </c>
      <c r="C36" s="5">
        <f t="shared" si="1"/>
        <v>0</v>
      </c>
      <c r="D36" s="5">
        <f t="shared" si="2"/>
        <v>0</v>
      </c>
      <c r="E36" s="6">
        <f t="shared" si="3"/>
        <v>0</v>
      </c>
      <c r="F36" s="4">
        <f t="shared" si="4"/>
        <v>60</v>
      </c>
      <c r="G36" s="5">
        <f t="shared" si="5"/>
        <v>16.070899140014262</v>
      </c>
      <c r="H36" s="5">
        <f t="shared" si="6"/>
        <v>1.3512986753886685E-2</v>
      </c>
      <c r="I36" s="6">
        <f t="shared" si="7"/>
        <v>0.36485064235494052</v>
      </c>
      <c r="J36" s="4">
        <f t="shared" si="8"/>
        <v>15</v>
      </c>
      <c r="K36" s="5">
        <f t="shared" si="9"/>
        <v>4.0177247850035656</v>
      </c>
      <c r="L36" s="5">
        <f t="shared" si="10"/>
        <v>1.1905256309049095E-2</v>
      </c>
      <c r="M36" s="6">
        <f t="shared" si="11"/>
        <v>0.32144192034432556</v>
      </c>
      <c r="N36" s="4">
        <f t="shared" si="12"/>
        <v>15</v>
      </c>
      <c r="O36" s="5">
        <f t="shared" si="13"/>
        <v>6.7528358364830758</v>
      </c>
      <c r="P36" s="5">
        <f t="shared" si="14"/>
        <v>1.1545943077302008E-2</v>
      </c>
      <c r="Q36" s="6">
        <f t="shared" si="15"/>
        <v>0.3117404630871542</v>
      </c>
    </row>
    <row r="37" spans="1:17" x14ac:dyDescent="0.2">
      <c r="A37" s="40">
        <v>28</v>
      </c>
      <c r="B37" s="4">
        <f t="shared" si="0"/>
        <v>0</v>
      </c>
      <c r="C37" s="5">
        <f t="shared" si="1"/>
        <v>0</v>
      </c>
      <c r="D37" s="5">
        <f t="shared" si="2"/>
        <v>0</v>
      </c>
      <c r="E37" s="6">
        <f t="shared" si="3"/>
        <v>0</v>
      </c>
      <c r="F37" s="4">
        <f t="shared" si="4"/>
        <v>60</v>
      </c>
      <c r="G37" s="5">
        <f t="shared" si="5"/>
        <v>15.305618228585013</v>
      </c>
      <c r="H37" s="5">
        <f t="shared" si="6"/>
        <v>1.2869511194177796E-2</v>
      </c>
      <c r="I37" s="6">
        <f t="shared" si="7"/>
        <v>0.36034631343697826</v>
      </c>
      <c r="J37" s="4">
        <f t="shared" si="8"/>
        <v>15</v>
      </c>
      <c r="K37" s="5">
        <f t="shared" si="9"/>
        <v>3.8264045571462533</v>
      </c>
      <c r="L37" s="5">
        <f t="shared" si="10"/>
        <v>1.133833934195152E-2</v>
      </c>
      <c r="M37" s="6">
        <f t="shared" si="11"/>
        <v>0.31747350157464255</v>
      </c>
      <c r="N37" s="4">
        <f t="shared" si="12"/>
        <v>15</v>
      </c>
      <c r="O37" s="5">
        <f t="shared" si="13"/>
        <v>6.5561512975563838</v>
      </c>
      <c r="P37" s="5">
        <f t="shared" si="14"/>
        <v>1.1209653473108745E-2</v>
      </c>
      <c r="Q37" s="6">
        <f t="shared" si="15"/>
        <v>0.31387029724704485</v>
      </c>
    </row>
    <row r="38" spans="1:17" x14ac:dyDescent="0.2">
      <c r="A38" s="40">
        <v>29</v>
      </c>
      <c r="B38" s="4">
        <f t="shared" si="0"/>
        <v>0</v>
      </c>
      <c r="C38" s="5">
        <f t="shared" si="1"/>
        <v>0</v>
      </c>
      <c r="D38" s="5">
        <f t="shared" si="2"/>
        <v>0</v>
      </c>
      <c r="E38" s="6">
        <f t="shared" si="3"/>
        <v>0</v>
      </c>
      <c r="F38" s="4">
        <f t="shared" si="4"/>
        <v>60</v>
      </c>
      <c r="G38" s="5">
        <f t="shared" si="5"/>
        <v>14.576779265319058</v>
      </c>
      <c r="H38" s="5">
        <f t="shared" si="6"/>
        <v>1.2256677327788375E-2</v>
      </c>
      <c r="I38" s="6">
        <f t="shared" si="7"/>
        <v>0.35544364250586286</v>
      </c>
      <c r="J38" s="4">
        <f t="shared" si="8"/>
        <v>15</v>
      </c>
      <c r="K38" s="5">
        <f t="shared" si="9"/>
        <v>3.6441948163297644</v>
      </c>
      <c r="L38" s="5">
        <f t="shared" si="10"/>
        <v>1.0798418420906206E-2</v>
      </c>
      <c r="M38" s="6">
        <f t="shared" si="11"/>
        <v>0.31315413420627997</v>
      </c>
      <c r="N38" s="4">
        <f t="shared" si="12"/>
        <v>15</v>
      </c>
      <c r="O38" s="5">
        <f t="shared" si="13"/>
        <v>6.3651954345207615</v>
      </c>
      <c r="P38" s="5">
        <f t="shared" si="14"/>
        <v>1.0883158711756062E-2</v>
      </c>
      <c r="Q38" s="6">
        <f t="shared" si="15"/>
        <v>0.3156116026409258</v>
      </c>
    </row>
    <row r="39" spans="1:17" x14ac:dyDescent="0.2">
      <c r="A39" s="40">
        <v>30</v>
      </c>
      <c r="B39" s="4">
        <f t="shared" si="0"/>
        <v>0</v>
      </c>
      <c r="C39" s="5">
        <f t="shared" si="1"/>
        <v>0</v>
      </c>
      <c r="D39" s="5">
        <f t="shared" si="2"/>
        <v>0</v>
      </c>
      <c r="E39" s="6">
        <f t="shared" si="3"/>
        <v>0</v>
      </c>
      <c r="F39" s="4">
        <f t="shared" si="4"/>
        <v>60</v>
      </c>
      <c r="G39" s="5">
        <f t="shared" si="5"/>
        <v>13.882646919351489</v>
      </c>
      <c r="H39" s="5">
        <f t="shared" si="6"/>
        <v>1.1673026026465123E-2</v>
      </c>
      <c r="I39" s="6">
        <f t="shared" si="7"/>
        <v>0.35019078079395372</v>
      </c>
      <c r="J39" s="4">
        <f t="shared" si="8"/>
        <v>15</v>
      </c>
      <c r="K39" s="5">
        <f t="shared" si="9"/>
        <v>3.4706617298378721</v>
      </c>
      <c r="L39" s="5">
        <f t="shared" si="10"/>
        <v>1.0284208019910677E-2</v>
      </c>
      <c r="M39" s="6">
        <f t="shared" si="11"/>
        <v>0.30852624059732031</v>
      </c>
      <c r="N39" s="4">
        <f t="shared" si="12"/>
        <v>15</v>
      </c>
      <c r="O39" s="5">
        <f t="shared" si="13"/>
        <v>6.1798013927386037</v>
      </c>
      <c r="P39" s="5">
        <f t="shared" si="14"/>
        <v>1.0566173506559286E-2</v>
      </c>
      <c r="Q39" s="6">
        <f t="shared" si="15"/>
        <v>0.31698520519677859</v>
      </c>
    </row>
    <row r="40" spans="1:17" x14ac:dyDescent="0.2">
      <c r="A40" s="40">
        <v>31</v>
      </c>
      <c r="B40" s="4">
        <f t="shared" si="0"/>
        <v>0</v>
      </c>
      <c r="C40" s="5">
        <f t="shared" si="1"/>
        <v>0</v>
      </c>
      <c r="D40" s="5">
        <f t="shared" si="2"/>
        <v>0</v>
      </c>
      <c r="E40" s="6">
        <f t="shared" si="3"/>
        <v>0</v>
      </c>
      <c r="F40" s="4">
        <f t="shared" si="4"/>
        <v>60</v>
      </c>
      <c r="G40" s="5">
        <f t="shared" si="5"/>
        <v>13.22156849462046</v>
      </c>
      <c r="H40" s="5">
        <f t="shared" si="6"/>
        <v>1.1117167644252494E-2</v>
      </c>
      <c r="I40" s="6">
        <f t="shared" si="7"/>
        <v>0.34463219697182734</v>
      </c>
      <c r="J40" s="4">
        <f t="shared" si="8"/>
        <v>15</v>
      </c>
      <c r="K40" s="5">
        <f t="shared" si="9"/>
        <v>3.3053921236551149</v>
      </c>
      <c r="L40" s="5">
        <f t="shared" si="10"/>
        <v>9.7944838284863556E-3</v>
      </c>
      <c r="M40" s="6">
        <f t="shared" si="11"/>
        <v>0.30362899868307702</v>
      </c>
      <c r="N40" s="4">
        <f t="shared" si="12"/>
        <v>15</v>
      </c>
      <c r="O40" s="5">
        <f t="shared" si="13"/>
        <v>5.9998071774161188</v>
      </c>
      <c r="P40" s="5">
        <f t="shared" si="14"/>
        <v>1.0258420880154644E-2</v>
      </c>
      <c r="Q40" s="6">
        <f t="shared" si="15"/>
        <v>0.31801104728479396</v>
      </c>
    </row>
    <row r="41" spans="1:17" x14ac:dyDescent="0.2">
      <c r="A41" s="40">
        <v>32</v>
      </c>
      <c r="B41" s="4">
        <f t="shared" si="0"/>
        <v>0</v>
      </c>
      <c r="C41" s="5">
        <f t="shared" si="1"/>
        <v>0</v>
      </c>
      <c r="D41" s="5">
        <f t="shared" si="2"/>
        <v>0</v>
      </c>
      <c r="E41" s="6">
        <f t="shared" si="3"/>
        <v>0</v>
      </c>
      <c r="F41" s="4">
        <f t="shared" si="4"/>
        <v>60</v>
      </c>
      <c r="G41" s="5">
        <f t="shared" si="5"/>
        <v>12.59196999487663</v>
      </c>
      <c r="H41" s="5">
        <f t="shared" si="6"/>
        <v>1.0587778708811901E-2</v>
      </c>
      <c r="I41" s="6">
        <f t="shared" si="7"/>
        <v>0.33880891868198082</v>
      </c>
      <c r="J41" s="4">
        <f t="shared" si="8"/>
        <v>15</v>
      </c>
      <c r="K41" s="5">
        <f t="shared" si="9"/>
        <v>3.1479924987191574</v>
      </c>
      <c r="L41" s="5">
        <f t="shared" si="10"/>
        <v>9.328079836653673E-3</v>
      </c>
      <c r="M41" s="6">
        <f t="shared" si="11"/>
        <v>0.29849855477291753</v>
      </c>
      <c r="N41" s="4">
        <f t="shared" si="12"/>
        <v>15</v>
      </c>
      <c r="O41" s="5">
        <f t="shared" si="13"/>
        <v>5.8250555120544858</v>
      </c>
      <c r="P41" s="5">
        <f t="shared" si="14"/>
        <v>9.9596319224802398E-3</v>
      </c>
      <c r="Q41" s="6">
        <f t="shared" si="15"/>
        <v>0.31870822151936767</v>
      </c>
    </row>
    <row r="42" spans="1:17" x14ac:dyDescent="0.2">
      <c r="A42" s="40">
        <v>33</v>
      </c>
      <c r="B42" s="4">
        <f t="shared" si="0"/>
        <v>0</v>
      </c>
      <c r="C42" s="5">
        <f t="shared" si="1"/>
        <v>0</v>
      </c>
      <c r="D42" s="5">
        <f t="shared" si="2"/>
        <v>0</v>
      </c>
      <c r="E42" s="6">
        <f t="shared" si="3"/>
        <v>0</v>
      </c>
      <c r="F42" s="4">
        <f t="shared" si="4"/>
        <v>60</v>
      </c>
      <c r="G42" s="5">
        <f t="shared" si="5"/>
        <v>11.992352376072981</v>
      </c>
      <c r="H42" s="5">
        <f t="shared" si="6"/>
        <v>1.0083598770297048E-2</v>
      </c>
      <c r="I42" s="6">
        <f t="shared" si="7"/>
        <v>0.3327587594198026</v>
      </c>
      <c r="J42" s="4">
        <f t="shared" si="8"/>
        <v>15</v>
      </c>
      <c r="K42" s="5">
        <f t="shared" si="9"/>
        <v>2.9980880940182453</v>
      </c>
      <c r="L42" s="5">
        <f t="shared" si="10"/>
        <v>8.8838855587177832E-3</v>
      </c>
      <c r="M42" s="6">
        <f t="shared" si="11"/>
        <v>0.29316822343768684</v>
      </c>
      <c r="N42" s="4">
        <f t="shared" si="12"/>
        <v>15</v>
      </c>
      <c r="O42" s="5">
        <f t="shared" si="13"/>
        <v>5.6553937010237725</v>
      </c>
      <c r="P42" s="5">
        <f t="shared" si="14"/>
        <v>9.6695455558060573E-3</v>
      </c>
      <c r="Q42" s="6">
        <f t="shared" si="15"/>
        <v>0.3190950033415999</v>
      </c>
    </row>
    <row r="43" spans="1:17" x14ac:dyDescent="0.2">
      <c r="A43" s="40">
        <v>34</v>
      </c>
      <c r="B43" s="4">
        <f t="shared" si="0"/>
        <v>0</v>
      </c>
      <c r="C43" s="5">
        <f t="shared" si="1"/>
        <v>0</v>
      </c>
      <c r="D43" s="5">
        <f t="shared" si="2"/>
        <v>0</v>
      </c>
      <c r="E43" s="6">
        <f t="shared" si="3"/>
        <v>0</v>
      </c>
      <c r="F43" s="4">
        <f t="shared" si="4"/>
        <v>60</v>
      </c>
      <c r="G43" s="5">
        <f t="shared" si="5"/>
        <v>11.421287977212362</v>
      </c>
      <c r="H43" s="5">
        <f t="shared" si="6"/>
        <v>9.6034274002829018E-3</v>
      </c>
      <c r="I43" s="6">
        <f t="shared" si="7"/>
        <v>0.32651653160961869</v>
      </c>
      <c r="J43" s="4">
        <f t="shared" si="8"/>
        <v>15</v>
      </c>
      <c r="K43" s="5">
        <f t="shared" si="9"/>
        <v>2.8553219943030905</v>
      </c>
      <c r="L43" s="5">
        <f t="shared" si="10"/>
        <v>8.4608433892550319E-3</v>
      </c>
      <c r="M43" s="6">
        <f t="shared" si="11"/>
        <v>0.2876686752346711</v>
      </c>
      <c r="N43" s="4">
        <f t="shared" si="12"/>
        <v>15</v>
      </c>
      <c r="O43" s="5">
        <f t="shared" si="13"/>
        <v>5.4906734961395856</v>
      </c>
      <c r="P43" s="5">
        <f t="shared" si="14"/>
        <v>9.3879083066078228E-3</v>
      </c>
      <c r="Q43" s="6">
        <f t="shared" si="15"/>
        <v>0.31918888242466598</v>
      </c>
    </row>
    <row r="44" spans="1:17" x14ac:dyDescent="0.2">
      <c r="A44" s="40">
        <v>35</v>
      </c>
      <c r="B44" s="4">
        <f t="shared" si="0"/>
        <v>0</v>
      </c>
      <c r="C44" s="5">
        <f t="shared" si="1"/>
        <v>0</v>
      </c>
      <c r="D44" s="5">
        <f t="shared" si="2"/>
        <v>0</v>
      </c>
      <c r="E44" s="6">
        <f t="shared" si="3"/>
        <v>0</v>
      </c>
      <c r="F44" s="4">
        <f t="shared" si="4"/>
        <v>60</v>
      </c>
      <c r="G44" s="5">
        <f t="shared" si="5"/>
        <v>10.877417121154629</v>
      </c>
      <c r="H44" s="5">
        <f t="shared" si="6"/>
        <v>9.1461213336027618E-3</v>
      </c>
      <c r="I44" s="6">
        <f t="shared" si="7"/>
        <v>0.32011424667609667</v>
      </c>
      <c r="J44" s="4">
        <f t="shared" si="8"/>
        <v>15</v>
      </c>
      <c r="K44" s="5">
        <f t="shared" si="9"/>
        <v>2.7193542802886572</v>
      </c>
      <c r="L44" s="5">
        <f t="shared" si="10"/>
        <v>8.0579460850047913E-3</v>
      </c>
      <c r="M44" s="6">
        <f t="shared" si="11"/>
        <v>0.28202811297516772</v>
      </c>
      <c r="N44" s="4">
        <f t="shared" si="12"/>
        <v>15</v>
      </c>
      <c r="O44" s="5">
        <f t="shared" si="13"/>
        <v>5.3307509671258106</v>
      </c>
      <c r="P44" s="5">
        <f t="shared" si="14"/>
        <v>9.1144740840852639E-3</v>
      </c>
      <c r="Q44" s="6">
        <f t="shared" si="15"/>
        <v>0.31900659294298422</v>
      </c>
    </row>
    <row r="45" spans="1:17" x14ac:dyDescent="0.2">
      <c r="A45" s="40">
        <v>36</v>
      </c>
      <c r="B45" s="4">
        <f t="shared" si="0"/>
        <v>0</v>
      </c>
      <c r="C45" s="5">
        <f t="shared" si="1"/>
        <v>0</v>
      </c>
      <c r="D45" s="5">
        <f t="shared" si="2"/>
        <v>0</v>
      </c>
      <c r="E45" s="6">
        <f t="shared" si="3"/>
        <v>0</v>
      </c>
      <c r="F45" s="4">
        <f t="shared" si="4"/>
        <v>60</v>
      </c>
      <c r="G45" s="5">
        <f t="shared" si="5"/>
        <v>10.359444877290125</v>
      </c>
      <c r="H45" s="5">
        <f t="shared" si="6"/>
        <v>8.7105917462883473E-3</v>
      </c>
      <c r="I45" s="6">
        <f t="shared" si="7"/>
        <v>0.31358130286638053</v>
      </c>
      <c r="J45" s="4">
        <f t="shared" si="8"/>
        <v>15</v>
      </c>
      <c r="K45" s="5">
        <f t="shared" si="9"/>
        <v>2.5898612193225312</v>
      </c>
      <c r="L45" s="5">
        <f t="shared" si="10"/>
        <v>7.674234366671231E-3</v>
      </c>
      <c r="M45" s="6">
        <f t="shared" si="11"/>
        <v>0.27627243720016431</v>
      </c>
      <c r="N45" s="4">
        <f t="shared" si="12"/>
        <v>15</v>
      </c>
      <c r="O45" s="5">
        <f t="shared" si="13"/>
        <v>5.1754863758503014</v>
      </c>
      <c r="P45" s="5">
        <f t="shared" si="14"/>
        <v>8.8490039651313249E-3</v>
      </c>
      <c r="Q45" s="6">
        <f t="shared" si="15"/>
        <v>0.31856414274472772</v>
      </c>
    </row>
    <row r="46" spans="1:17" x14ac:dyDescent="0.2">
      <c r="A46" s="40">
        <v>37</v>
      </c>
      <c r="B46" s="4">
        <f t="shared" si="0"/>
        <v>0</v>
      </c>
      <c r="C46" s="5">
        <f t="shared" si="1"/>
        <v>0</v>
      </c>
      <c r="D46" s="5">
        <f t="shared" si="2"/>
        <v>0</v>
      </c>
      <c r="E46" s="6">
        <f t="shared" si="3"/>
        <v>0</v>
      </c>
      <c r="F46" s="4">
        <f t="shared" si="4"/>
        <v>60</v>
      </c>
      <c r="G46" s="5">
        <f t="shared" si="5"/>
        <v>9.8661379783715457</v>
      </c>
      <c r="H46" s="5">
        <f t="shared" si="6"/>
        <v>8.2958016631317581E-3</v>
      </c>
      <c r="I46" s="6">
        <f t="shared" si="7"/>
        <v>0.30694466153587507</v>
      </c>
      <c r="J46" s="4">
        <f t="shared" si="8"/>
        <v>15</v>
      </c>
      <c r="K46" s="5">
        <f t="shared" si="9"/>
        <v>2.4665344945928864</v>
      </c>
      <c r="L46" s="5">
        <f t="shared" si="10"/>
        <v>7.3087946349249802E-3</v>
      </c>
      <c r="M46" s="6">
        <f t="shared" si="11"/>
        <v>0.27042540149222427</v>
      </c>
      <c r="N46" s="4">
        <f t="shared" si="12"/>
        <v>15</v>
      </c>
      <c r="O46" s="5">
        <f t="shared" si="13"/>
        <v>5.0247440542235946</v>
      </c>
      <c r="P46" s="5">
        <f t="shared" si="14"/>
        <v>8.5912659855643947E-3</v>
      </c>
      <c r="Q46" s="6">
        <f t="shared" si="15"/>
        <v>0.31787684146588258</v>
      </c>
    </row>
    <row r="47" spans="1:17" x14ac:dyDescent="0.2">
      <c r="A47" s="40">
        <v>38</v>
      </c>
      <c r="B47" s="4">
        <f t="shared" si="0"/>
        <v>0</v>
      </c>
      <c r="C47" s="5">
        <f t="shared" si="1"/>
        <v>0</v>
      </c>
      <c r="D47" s="5">
        <f t="shared" si="2"/>
        <v>0</v>
      </c>
      <c r="E47" s="6">
        <f t="shared" si="3"/>
        <v>0</v>
      </c>
      <c r="F47" s="4">
        <f t="shared" si="4"/>
        <v>60</v>
      </c>
      <c r="G47" s="5">
        <f t="shared" si="5"/>
        <v>9.3963218841633793</v>
      </c>
      <c r="H47" s="5">
        <f t="shared" si="6"/>
        <v>7.9007634886969144E-3</v>
      </c>
      <c r="I47" s="6">
        <f t="shared" si="7"/>
        <v>0.30022901257048273</v>
      </c>
      <c r="J47" s="4">
        <f t="shared" si="8"/>
        <v>15</v>
      </c>
      <c r="K47" s="5">
        <f t="shared" si="9"/>
        <v>2.3490804710408448</v>
      </c>
      <c r="L47" s="5">
        <f t="shared" si="10"/>
        <v>6.9607567951666498E-3</v>
      </c>
      <c r="M47" s="6">
        <f t="shared" si="11"/>
        <v>0.26450875821633268</v>
      </c>
      <c r="N47" s="4">
        <f t="shared" si="12"/>
        <v>15</v>
      </c>
      <c r="O47" s="5">
        <f t="shared" si="13"/>
        <v>4.878392285653975</v>
      </c>
      <c r="P47" s="5">
        <f t="shared" si="14"/>
        <v>8.3410349374411583E-3</v>
      </c>
      <c r="Q47" s="6">
        <f t="shared" si="15"/>
        <v>0.31695932762276402</v>
      </c>
    </row>
    <row r="48" spans="1:17" x14ac:dyDescent="0.2">
      <c r="A48" s="40">
        <v>39</v>
      </c>
      <c r="B48" s="4">
        <f t="shared" si="0"/>
        <v>0</v>
      </c>
      <c r="C48" s="5">
        <f t="shared" si="1"/>
        <v>0</v>
      </c>
      <c r="D48" s="5">
        <f t="shared" si="2"/>
        <v>0</v>
      </c>
      <c r="E48" s="6">
        <f t="shared" si="3"/>
        <v>0</v>
      </c>
      <c r="F48" s="4">
        <f t="shared" si="4"/>
        <v>60</v>
      </c>
      <c r="G48" s="5">
        <f t="shared" si="5"/>
        <v>8.9488779849175017</v>
      </c>
      <c r="H48" s="5">
        <f t="shared" si="6"/>
        <v>7.5245366559018208E-3</v>
      </c>
      <c r="I48" s="6">
        <f t="shared" si="7"/>
        <v>0.293456929580171</v>
      </c>
      <c r="J48" s="4">
        <f t="shared" si="8"/>
        <v>15</v>
      </c>
      <c r="K48" s="5">
        <f t="shared" si="9"/>
        <v>2.2372194962293754</v>
      </c>
      <c r="L48" s="5">
        <f t="shared" si="10"/>
        <v>6.6292921858729977E-3</v>
      </c>
      <c r="M48" s="6">
        <f t="shared" si="11"/>
        <v>0.25854239524904693</v>
      </c>
      <c r="N48" s="4">
        <f t="shared" si="12"/>
        <v>15</v>
      </c>
      <c r="O48" s="5">
        <f t="shared" si="13"/>
        <v>4.736303189955315</v>
      </c>
      <c r="P48" s="5">
        <f t="shared" si="14"/>
        <v>8.0980921722729696E-3</v>
      </c>
      <c r="Q48" s="6">
        <f t="shared" si="15"/>
        <v>0.3158255947186458</v>
      </c>
    </row>
    <row r="49" spans="1:17" x14ac:dyDescent="0.2">
      <c r="A49" s="40">
        <v>40</v>
      </c>
      <c r="B49" s="4">
        <f t="shared" si="0"/>
        <v>0</v>
      </c>
      <c r="C49" s="5">
        <f t="shared" si="1"/>
        <v>0</v>
      </c>
      <c r="D49" s="5">
        <f t="shared" si="2"/>
        <v>0</v>
      </c>
      <c r="E49" s="6">
        <f t="shared" si="3"/>
        <v>0</v>
      </c>
      <c r="F49" s="4">
        <f t="shared" si="4"/>
        <v>60</v>
      </c>
      <c r="G49" s="5">
        <f t="shared" si="5"/>
        <v>8.5227409380166694</v>
      </c>
      <c r="H49" s="5">
        <f t="shared" si="6"/>
        <v>7.1662253865731633E-3</v>
      </c>
      <c r="I49" s="6">
        <f t="shared" si="7"/>
        <v>0.28664901546292654</v>
      </c>
      <c r="J49" s="4">
        <f t="shared" si="8"/>
        <v>15</v>
      </c>
      <c r="K49" s="5">
        <f t="shared" si="9"/>
        <v>2.1306852345041674</v>
      </c>
      <c r="L49" s="5">
        <f t="shared" si="10"/>
        <v>6.3136116055933326E-3</v>
      </c>
      <c r="M49" s="6">
        <f t="shared" si="11"/>
        <v>0.25254446422373333</v>
      </c>
      <c r="N49" s="4">
        <f t="shared" si="12"/>
        <v>15</v>
      </c>
      <c r="O49" s="5">
        <f t="shared" si="13"/>
        <v>4.598352611607103</v>
      </c>
      <c r="P49" s="5">
        <f t="shared" si="14"/>
        <v>7.8622254099737585E-3</v>
      </c>
      <c r="Q49" s="6">
        <f t="shared" si="15"/>
        <v>0.31448901639895033</v>
      </c>
    </row>
    <row r="50" spans="1:17" x14ac:dyDescent="0.2">
      <c r="A50" s="40">
        <v>41</v>
      </c>
      <c r="B50" s="4">
        <f t="shared" si="0"/>
        <v>0</v>
      </c>
      <c r="C50" s="5">
        <f t="shared" si="1"/>
        <v>0</v>
      </c>
      <c r="D50" s="5">
        <f t="shared" si="2"/>
        <v>0</v>
      </c>
      <c r="E50" s="6">
        <f t="shared" si="3"/>
        <v>0</v>
      </c>
      <c r="F50" s="4">
        <f t="shared" si="4"/>
        <v>60</v>
      </c>
      <c r="G50" s="5">
        <f t="shared" si="5"/>
        <v>8.116896131444447</v>
      </c>
      <c r="H50" s="5">
        <f t="shared" si="6"/>
        <v>6.8249765586411082E-3</v>
      </c>
      <c r="I50" s="6">
        <f t="shared" si="7"/>
        <v>0.27982403890428542</v>
      </c>
      <c r="J50" s="4">
        <f t="shared" si="8"/>
        <v>15</v>
      </c>
      <c r="K50" s="5">
        <f t="shared" si="9"/>
        <v>2.0292240328611117</v>
      </c>
      <c r="L50" s="5">
        <f t="shared" si="10"/>
        <v>6.0129634338984116E-3</v>
      </c>
      <c r="M50" s="6">
        <f t="shared" si="11"/>
        <v>0.24653150078983488</v>
      </c>
      <c r="N50" s="4">
        <f t="shared" si="12"/>
        <v>15</v>
      </c>
      <c r="O50" s="5">
        <f t="shared" si="13"/>
        <v>4.4644200112690315</v>
      </c>
      <c r="P50" s="5">
        <f t="shared" si="14"/>
        <v>7.6332285533725801E-3</v>
      </c>
      <c r="Q50" s="6">
        <f t="shared" si="15"/>
        <v>0.31296237068827576</v>
      </c>
    </row>
    <row r="51" spans="1:17" x14ac:dyDescent="0.2">
      <c r="A51" s="40">
        <v>42</v>
      </c>
      <c r="B51" s="4">
        <f t="shared" si="0"/>
        <v>0</v>
      </c>
      <c r="C51" s="5">
        <f t="shared" si="1"/>
        <v>0</v>
      </c>
      <c r="D51" s="5">
        <f t="shared" si="2"/>
        <v>0</v>
      </c>
      <c r="E51" s="6">
        <f t="shared" si="3"/>
        <v>0</v>
      </c>
      <c r="F51" s="4">
        <f t="shared" si="4"/>
        <v>60</v>
      </c>
      <c r="G51" s="5">
        <f t="shared" si="5"/>
        <v>7.7303772680423304</v>
      </c>
      <c r="H51" s="5">
        <f t="shared" si="6"/>
        <v>6.499977674896293E-3</v>
      </c>
      <c r="I51" s="6">
        <f t="shared" si="7"/>
        <v>0.27299906234564431</v>
      </c>
      <c r="J51" s="4">
        <f t="shared" si="8"/>
        <v>15</v>
      </c>
      <c r="K51" s="5">
        <f t="shared" si="9"/>
        <v>1.9325943170105826</v>
      </c>
      <c r="L51" s="5">
        <f t="shared" si="10"/>
        <v>5.7266318418080107E-3</v>
      </c>
      <c r="M51" s="6">
        <f t="shared" si="11"/>
        <v>0.24051853735593645</v>
      </c>
      <c r="N51" s="4">
        <f t="shared" si="12"/>
        <v>15</v>
      </c>
      <c r="O51" s="5">
        <f t="shared" si="13"/>
        <v>4.3343883604553701</v>
      </c>
      <c r="P51" s="5">
        <f t="shared" si="14"/>
        <v>7.410901508128718E-3</v>
      </c>
      <c r="Q51" s="6">
        <f t="shared" si="15"/>
        <v>0.31125786334140615</v>
      </c>
    </row>
    <row r="52" spans="1:17" x14ac:dyDescent="0.2">
      <c r="A52" s="40">
        <v>43</v>
      </c>
      <c r="B52" s="4">
        <f t="shared" si="0"/>
        <v>0</v>
      </c>
      <c r="C52" s="5">
        <f t="shared" si="1"/>
        <v>0</v>
      </c>
      <c r="D52" s="5">
        <f t="shared" si="2"/>
        <v>0</v>
      </c>
      <c r="E52" s="6">
        <f t="shared" si="3"/>
        <v>0</v>
      </c>
      <c r="F52" s="4">
        <f t="shared" si="4"/>
        <v>60</v>
      </c>
      <c r="G52" s="5">
        <f t="shared" si="5"/>
        <v>7.3622640648022184</v>
      </c>
      <c r="H52" s="5">
        <f t="shared" si="6"/>
        <v>6.1904549284726596E-3</v>
      </c>
      <c r="I52" s="6">
        <f t="shared" si="7"/>
        <v>0.26618956192432436</v>
      </c>
      <c r="J52" s="4">
        <f t="shared" si="8"/>
        <v>15</v>
      </c>
      <c r="K52" s="5">
        <f t="shared" si="9"/>
        <v>1.8405660162005546</v>
      </c>
      <c r="L52" s="5">
        <f t="shared" si="10"/>
        <v>5.4539350874362007E-3</v>
      </c>
      <c r="M52" s="6">
        <f t="shared" si="11"/>
        <v>0.23451920875975663</v>
      </c>
      <c r="N52" s="4">
        <f t="shared" si="12"/>
        <v>15</v>
      </c>
      <c r="O52" s="5">
        <f t="shared" si="13"/>
        <v>4.2081440392770588</v>
      </c>
      <c r="P52" s="5">
        <f t="shared" si="14"/>
        <v>7.1950500078919602E-3</v>
      </c>
      <c r="Q52" s="6">
        <f t="shared" si="15"/>
        <v>0.30938715033935427</v>
      </c>
    </row>
    <row r="53" spans="1:17" x14ac:dyDescent="0.2">
      <c r="A53" s="40">
        <v>44</v>
      </c>
      <c r="B53" s="4">
        <f t="shared" si="0"/>
        <v>0</v>
      </c>
      <c r="C53" s="5">
        <f t="shared" si="1"/>
        <v>0</v>
      </c>
      <c r="D53" s="5">
        <f t="shared" si="2"/>
        <v>0</v>
      </c>
      <c r="E53" s="6">
        <f t="shared" si="3"/>
        <v>0</v>
      </c>
      <c r="F53" s="4">
        <f t="shared" si="4"/>
        <v>60</v>
      </c>
      <c r="G53" s="5">
        <f t="shared" si="5"/>
        <v>7.0116800617163992</v>
      </c>
      <c r="H53" s="5">
        <f t="shared" si="6"/>
        <v>5.8956713604501523E-3</v>
      </c>
      <c r="I53" s="6">
        <f t="shared" si="7"/>
        <v>0.25940953985980669</v>
      </c>
      <c r="J53" s="4">
        <f t="shared" si="8"/>
        <v>15</v>
      </c>
      <c r="K53" s="5">
        <f t="shared" si="9"/>
        <v>1.7529200154290998</v>
      </c>
      <c r="L53" s="5">
        <f t="shared" si="10"/>
        <v>5.1942238927963815E-3</v>
      </c>
      <c r="M53" s="6">
        <f t="shared" si="11"/>
        <v>0.22854585128304078</v>
      </c>
      <c r="N53" s="4">
        <f t="shared" si="12"/>
        <v>15</v>
      </c>
      <c r="O53" s="5">
        <f t="shared" si="13"/>
        <v>4.0855767371621932</v>
      </c>
      <c r="P53" s="5">
        <f t="shared" si="14"/>
        <v>6.985485444555301E-3</v>
      </c>
      <c r="Q53" s="6">
        <f t="shared" si="15"/>
        <v>0.30736135956043326</v>
      </c>
    </row>
    <row r="54" spans="1:17" x14ac:dyDescent="0.2">
      <c r="A54" s="40">
        <v>45</v>
      </c>
      <c r="B54" s="4">
        <f t="shared" si="0"/>
        <v>0</v>
      </c>
      <c r="C54" s="5">
        <f t="shared" si="1"/>
        <v>0</v>
      </c>
      <c r="D54" s="5">
        <f t="shared" si="2"/>
        <v>0</v>
      </c>
      <c r="E54" s="6">
        <f t="shared" si="3"/>
        <v>0</v>
      </c>
      <c r="F54" s="4">
        <f t="shared" si="4"/>
        <v>60</v>
      </c>
      <c r="G54" s="5">
        <f t="shared" si="5"/>
        <v>6.6777905349679978</v>
      </c>
      <c r="H54" s="5">
        <f t="shared" si="6"/>
        <v>5.6149251051906199E-3</v>
      </c>
      <c r="I54" s="6">
        <f t="shared" si="7"/>
        <v>0.25267162973357787</v>
      </c>
      <c r="J54" s="4">
        <f t="shared" si="8"/>
        <v>15</v>
      </c>
      <c r="K54" s="5">
        <f t="shared" si="9"/>
        <v>1.6694476337419994</v>
      </c>
      <c r="L54" s="5">
        <f t="shared" si="10"/>
        <v>4.9468798979013144E-3</v>
      </c>
      <c r="M54" s="6">
        <f t="shared" si="11"/>
        <v>0.22260959540555916</v>
      </c>
      <c r="N54" s="4">
        <f t="shared" si="12"/>
        <v>15</v>
      </c>
      <c r="O54" s="5">
        <f t="shared" si="13"/>
        <v>3.9665793564681491</v>
      </c>
      <c r="P54" s="5">
        <f t="shared" si="14"/>
        <v>6.7820247034517493E-3</v>
      </c>
      <c r="Q54" s="6">
        <f t="shared" si="15"/>
        <v>0.3051911116553287</v>
      </c>
    </row>
    <row r="55" spans="1:17" x14ac:dyDescent="0.2">
      <c r="A55" s="40">
        <v>46</v>
      </c>
      <c r="B55" s="4">
        <f t="shared" si="0"/>
        <v>0</v>
      </c>
      <c r="C55" s="5">
        <f t="shared" si="1"/>
        <v>0</v>
      </c>
      <c r="D55" s="5">
        <f t="shared" si="2"/>
        <v>0</v>
      </c>
      <c r="E55" s="6">
        <f t="shared" si="3"/>
        <v>0</v>
      </c>
      <c r="F55" s="4">
        <f t="shared" si="4"/>
        <v>60</v>
      </c>
      <c r="G55" s="5">
        <f t="shared" si="5"/>
        <v>6.3598005094933328</v>
      </c>
      <c r="H55" s="5">
        <f t="shared" si="6"/>
        <v>5.3475477192291634E-3</v>
      </c>
      <c r="I55" s="6">
        <f t="shared" si="7"/>
        <v>0.24598719508454153</v>
      </c>
      <c r="J55" s="4">
        <f t="shared" si="8"/>
        <v>15</v>
      </c>
      <c r="K55" s="5">
        <f t="shared" si="9"/>
        <v>1.5899501273733332</v>
      </c>
      <c r="L55" s="5">
        <f t="shared" si="10"/>
        <v>4.711314188477444E-3</v>
      </c>
      <c r="M55" s="6">
        <f t="shared" si="11"/>
        <v>0.21672045266996243</v>
      </c>
      <c r="N55" s="4">
        <f t="shared" si="12"/>
        <v>15</v>
      </c>
      <c r="O55" s="5">
        <f t="shared" si="13"/>
        <v>3.8510479189011155</v>
      </c>
      <c r="P55" s="5">
        <f t="shared" si="14"/>
        <v>6.5844900033512127E-3</v>
      </c>
      <c r="Q55" s="6">
        <f t="shared" si="15"/>
        <v>0.30288654015415578</v>
      </c>
    </row>
    <row r="56" spans="1:17" x14ac:dyDescent="0.2">
      <c r="A56" s="40">
        <v>47</v>
      </c>
      <c r="B56" s="4">
        <f t="shared" si="0"/>
        <v>0</v>
      </c>
      <c r="C56" s="5">
        <f t="shared" si="1"/>
        <v>0</v>
      </c>
      <c r="D56" s="5">
        <f t="shared" si="2"/>
        <v>0</v>
      </c>
      <c r="E56" s="6">
        <f t="shared" si="3"/>
        <v>0</v>
      </c>
      <c r="F56" s="4">
        <f t="shared" si="4"/>
        <v>60</v>
      </c>
      <c r="G56" s="5">
        <f t="shared" si="5"/>
        <v>6.0569528661841252</v>
      </c>
      <c r="H56" s="5">
        <f t="shared" si="6"/>
        <v>5.0929025897420597E-3</v>
      </c>
      <c r="I56" s="6">
        <f t="shared" si="7"/>
        <v>0.23936642171787681</v>
      </c>
      <c r="J56" s="4">
        <f t="shared" si="8"/>
        <v>15</v>
      </c>
      <c r="K56" s="5">
        <f t="shared" si="9"/>
        <v>1.5142382165460313</v>
      </c>
      <c r="L56" s="5">
        <f t="shared" si="10"/>
        <v>4.4869658937880409E-3</v>
      </c>
      <c r="M56" s="6">
        <f t="shared" si="11"/>
        <v>0.21088739700803791</v>
      </c>
      <c r="N56" s="4">
        <f t="shared" si="12"/>
        <v>15</v>
      </c>
      <c r="O56" s="5">
        <f t="shared" si="13"/>
        <v>3.7388814746612766</v>
      </c>
      <c r="P56" s="5">
        <f t="shared" si="14"/>
        <v>6.3927087411176815E-3</v>
      </c>
      <c r="Q56" s="6">
        <f t="shared" si="15"/>
        <v>0.30045731083253102</v>
      </c>
    </row>
    <row r="57" spans="1:17" x14ac:dyDescent="0.2">
      <c r="A57" s="40">
        <v>48</v>
      </c>
      <c r="B57" s="4">
        <f t="shared" si="0"/>
        <v>0</v>
      </c>
      <c r="C57" s="5">
        <f t="shared" si="1"/>
        <v>0</v>
      </c>
      <c r="D57" s="5">
        <f t="shared" si="2"/>
        <v>0</v>
      </c>
      <c r="E57" s="6">
        <f t="shared" si="3"/>
        <v>0</v>
      </c>
      <c r="F57" s="4">
        <f t="shared" si="4"/>
        <v>60</v>
      </c>
      <c r="G57" s="5">
        <f t="shared" si="5"/>
        <v>5.7685265392229761</v>
      </c>
      <c r="H57" s="5">
        <f t="shared" si="6"/>
        <v>4.8503834188019608E-3</v>
      </c>
      <c r="I57" s="6">
        <f t="shared" si="7"/>
        <v>0.2328184041024941</v>
      </c>
      <c r="J57" s="4">
        <f t="shared" si="8"/>
        <v>15</v>
      </c>
      <c r="K57" s="5">
        <f t="shared" si="9"/>
        <v>1.442131634805744</v>
      </c>
      <c r="L57" s="5">
        <f t="shared" si="10"/>
        <v>4.2733008512267053E-3</v>
      </c>
      <c r="M57" s="6">
        <f t="shared" si="11"/>
        <v>0.20511844085888187</v>
      </c>
      <c r="N57" s="4">
        <f t="shared" si="12"/>
        <v>15</v>
      </c>
      <c r="O57" s="5">
        <f t="shared" si="13"/>
        <v>3.6299820142342494</v>
      </c>
      <c r="P57" s="5">
        <f t="shared" si="14"/>
        <v>6.2065133408909529E-3</v>
      </c>
      <c r="Q57" s="6">
        <f t="shared" si="15"/>
        <v>0.29791264036276577</v>
      </c>
    </row>
    <row r="58" spans="1:17" x14ac:dyDescent="0.2">
      <c r="A58" s="40">
        <v>49</v>
      </c>
      <c r="B58" s="4">
        <f t="shared" si="0"/>
        <v>0</v>
      </c>
      <c r="C58" s="5">
        <f t="shared" si="1"/>
        <v>0</v>
      </c>
      <c r="D58" s="5">
        <f t="shared" si="2"/>
        <v>0</v>
      </c>
      <c r="E58" s="6">
        <f t="shared" si="3"/>
        <v>0</v>
      </c>
      <c r="F58" s="4">
        <f t="shared" si="4"/>
        <v>60</v>
      </c>
      <c r="G58" s="5">
        <f t="shared" si="5"/>
        <v>5.493834799259977</v>
      </c>
      <c r="H58" s="5">
        <f t="shared" si="6"/>
        <v>4.6194127798113915E-3</v>
      </c>
      <c r="I58" s="6">
        <f t="shared" si="7"/>
        <v>0.22635122621075818</v>
      </c>
      <c r="J58" s="4">
        <f t="shared" si="8"/>
        <v>15</v>
      </c>
      <c r="K58" s="5">
        <f t="shared" si="9"/>
        <v>1.3734586998149942</v>
      </c>
      <c r="L58" s="5">
        <f t="shared" si="10"/>
        <v>4.0698103345016235E-3</v>
      </c>
      <c r="M58" s="6">
        <f t="shared" si="11"/>
        <v>0.19942070639057954</v>
      </c>
      <c r="N58" s="4">
        <f t="shared" si="12"/>
        <v>15</v>
      </c>
      <c r="O58" s="5">
        <f t="shared" si="13"/>
        <v>3.5242543827516988</v>
      </c>
      <c r="P58" s="5">
        <f t="shared" si="14"/>
        <v>6.0257411076611199E-3</v>
      </c>
      <c r="Q58" s="6">
        <f t="shared" si="15"/>
        <v>0.29526131427539487</v>
      </c>
    </row>
    <row r="59" spans="1:17" x14ac:dyDescent="0.2">
      <c r="A59" s="40">
        <v>50</v>
      </c>
      <c r="B59" s="4">
        <f t="shared" si="0"/>
        <v>0</v>
      </c>
      <c r="C59" s="5">
        <f t="shared" si="1"/>
        <v>0</v>
      </c>
      <c r="D59" s="5">
        <f t="shared" si="2"/>
        <v>0</v>
      </c>
      <c r="E59" s="6">
        <f t="shared" si="3"/>
        <v>0</v>
      </c>
      <c r="F59" s="4">
        <f t="shared" si="4"/>
        <v>60</v>
      </c>
      <c r="G59" s="5">
        <f t="shared" si="5"/>
        <v>5.232223618342835</v>
      </c>
      <c r="H59" s="5">
        <f t="shared" si="6"/>
        <v>4.3994407426775151E-3</v>
      </c>
      <c r="I59" s="6">
        <f t="shared" si="7"/>
        <v>0.21997203713387575</v>
      </c>
      <c r="J59" s="4">
        <f t="shared" si="8"/>
        <v>15</v>
      </c>
      <c r="K59" s="5">
        <f t="shared" si="9"/>
        <v>1.3080559045857088</v>
      </c>
      <c r="L59" s="5">
        <f t="shared" si="10"/>
        <v>3.876009842382499E-3</v>
      </c>
      <c r="M59" s="6">
        <f t="shared" si="11"/>
        <v>0.19380049211912495</v>
      </c>
      <c r="N59" s="4">
        <f t="shared" si="12"/>
        <v>15</v>
      </c>
      <c r="O59" s="5">
        <f t="shared" si="13"/>
        <v>3.4216061968463096</v>
      </c>
      <c r="P59" s="5">
        <f t="shared" si="14"/>
        <v>5.8502340851078836E-3</v>
      </c>
      <c r="Q59" s="6">
        <f t="shared" si="15"/>
        <v>0.29251170425539419</v>
      </c>
    </row>
    <row r="60" spans="1:17" x14ac:dyDescent="0.2">
      <c r="A60" s="40">
        <v>51</v>
      </c>
      <c r="B60" s="4">
        <f t="shared" si="0"/>
        <v>0</v>
      </c>
      <c r="C60" s="5">
        <f t="shared" si="1"/>
        <v>0</v>
      </c>
      <c r="D60" s="5">
        <f t="shared" si="2"/>
        <v>0</v>
      </c>
      <c r="E60" s="6">
        <f t="shared" si="3"/>
        <v>0</v>
      </c>
      <c r="F60" s="4">
        <f t="shared" si="4"/>
        <v>60</v>
      </c>
      <c r="G60" s="5">
        <f t="shared" si="5"/>
        <v>4.9830701127074626</v>
      </c>
      <c r="H60" s="5">
        <f t="shared" si="6"/>
        <v>4.189943564454777E-3</v>
      </c>
      <c r="I60" s="6">
        <f t="shared" si="7"/>
        <v>0.21368712178719362</v>
      </c>
      <c r="J60" s="4">
        <f t="shared" si="8"/>
        <v>15</v>
      </c>
      <c r="K60" s="5">
        <f t="shared" si="9"/>
        <v>1.2457675281768656</v>
      </c>
      <c r="L60" s="5">
        <f t="shared" si="10"/>
        <v>3.6914379451261901E-3</v>
      </c>
      <c r="M60" s="6">
        <f t="shared" si="11"/>
        <v>0.18826333520143571</v>
      </c>
      <c r="N60" s="4">
        <f t="shared" si="12"/>
        <v>15</v>
      </c>
      <c r="O60" s="5">
        <f t="shared" si="13"/>
        <v>3.3219477639284558</v>
      </c>
      <c r="P60" s="5">
        <f t="shared" si="14"/>
        <v>5.6798389175804695E-3</v>
      </c>
      <c r="Q60" s="6">
        <f t="shared" si="15"/>
        <v>0.28967178479660394</v>
      </c>
    </row>
    <row r="61" spans="1:17" x14ac:dyDescent="0.2">
      <c r="A61" s="40">
        <v>52</v>
      </c>
      <c r="B61" s="4">
        <f t="shared" si="0"/>
        <v>0</v>
      </c>
      <c r="C61" s="5">
        <f t="shared" si="1"/>
        <v>0</v>
      </c>
      <c r="D61" s="5">
        <f t="shared" si="2"/>
        <v>0</v>
      </c>
      <c r="E61" s="6">
        <f t="shared" si="3"/>
        <v>0</v>
      </c>
      <c r="F61" s="4">
        <f t="shared" si="4"/>
        <v>60</v>
      </c>
      <c r="G61" s="5">
        <f t="shared" si="5"/>
        <v>4.7457810597213923</v>
      </c>
      <c r="H61" s="5">
        <f t="shared" si="6"/>
        <v>3.990422442337882E-3</v>
      </c>
      <c r="I61" s="6">
        <f t="shared" si="7"/>
        <v>0.20750196700156986</v>
      </c>
      <c r="J61" s="4">
        <f t="shared" si="8"/>
        <v>15</v>
      </c>
      <c r="K61" s="5">
        <f t="shared" si="9"/>
        <v>1.1864452649303481</v>
      </c>
      <c r="L61" s="5">
        <f t="shared" si="10"/>
        <v>3.5156551858344662E-3</v>
      </c>
      <c r="M61" s="6">
        <f t="shared" si="11"/>
        <v>0.18281406966339225</v>
      </c>
      <c r="N61" s="4">
        <f t="shared" si="12"/>
        <v>15</v>
      </c>
      <c r="O61" s="5">
        <f t="shared" si="13"/>
        <v>3.2251920038140347</v>
      </c>
      <c r="P61" s="5">
        <f t="shared" si="14"/>
        <v>5.5144067160975427E-3</v>
      </c>
      <c r="Q61" s="6">
        <f t="shared" si="15"/>
        <v>0.28674914923707223</v>
      </c>
    </row>
    <row r="62" spans="1:17" x14ac:dyDescent="0.2">
      <c r="A62" s="40">
        <v>53</v>
      </c>
      <c r="B62" s="4">
        <f t="shared" si="0"/>
        <v>0</v>
      </c>
      <c r="C62" s="5">
        <f t="shared" si="1"/>
        <v>0</v>
      </c>
      <c r="D62" s="5">
        <f t="shared" si="2"/>
        <v>0</v>
      </c>
      <c r="E62" s="6">
        <f t="shared" si="3"/>
        <v>0</v>
      </c>
      <c r="F62" s="4">
        <f t="shared" si="4"/>
        <v>60</v>
      </c>
      <c r="G62" s="5">
        <f t="shared" si="5"/>
        <v>4.5197914854489456</v>
      </c>
      <c r="H62" s="5">
        <f t="shared" si="6"/>
        <v>3.8004023260360788E-3</v>
      </c>
      <c r="I62" s="6">
        <f t="shared" si="7"/>
        <v>0.20142132327991219</v>
      </c>
      <c r="J62" s="4">
        <f t="shared" si="8"/>
        <v>15</v>
      </c>
      <c r="K62" s="5">
        <f t="shared" si="9"/>
        <v>1.1299478713622364</v>
      </c>
      <c r="L62" s="5">
        <f t="shared" si="10"/>
        <v>3.3482430341280635E-3</v>
      </c>
      <c r="M62" s="6">
        <f t="shared" si="11"/>
        <v>0.17745688080878735</v>
      </c>
      <c r="N62" s="4">
        <f t="shared" si="12"/>
        <v>15</v>
      </c>
      <c r="O62" s="5">
        <f t="shared" si="13"/>
        <v>3.1312543726349857</v>
      </c>
      <c r="P62" s="5">
        <f t="shared" si="14"/>
        <v>5.3537929282500432E-3</v>
      </c>
      <c r="Q62" s="6">
        <f t="shared" si="15"/>
        <v>0.28375102519725232</v>
      </c>
    </row>
    <row r="63" spans="1:17" x14ac:dyDescent="0.2">
      <c r="A63" s="40">
        <v>54</v>
      </c>
      <c r="B63" s="4">
        <f t="shared" si="0"/>
        <v>0</v>
      </c>
      <c r="C63" s="5">
        <f t="shared" si="1"/>
        <v>0</v>
      </c>
      <c r="D63" s="5">
        <f t="shared" si="2"/>
        <v>0</v>
      </c>
      <c r="E63" s="6">
        <f t="shared" si="3"/>
        <v>0</v>
      </c>
      <c r="F63" s="4">
        <f t="shared" si="4"/>
        <v>60</v>
      </c>
      <c r="G63" s="5">
        <f t="shared" si="5"/>
        <v>4.3045633194751867</v>
      </c>
      <c r="H63" s="5">
        <f t="shared" si="6"/>
        <v>3.619430786701028E-3</v>
      </c>
      <c r="I63" s="6">
        <f t="shared" si="7"/>
        <v>0.19544926248185551</v>
      </c>
      <c r="J63" s="4">
        <f t="shared" si="8"/>
        <v>15</v>
      </c>
      <c r="K63" s="5">
        <f t="shared" si="9"/>
        <v>1.0761408298687967</v>
      </c>
      <c r="L63" s="5">
        <f t="shared" si="10"/>
        <v>3.1888028896457747E-3</v>
      </c>
      <c r="M63" s="6">
        <f t="shared" si="11"/>
        <v>0.17219535604087183</v>
      </c>
      <c r="N63" s="4">
        <f t="shared" si="12"/>
        <v>15</v>
      </c>
      <c r="O63" s="5">
        <f t="shared" si="13"/>
        <v>3.0400527889660052</v>
      </c>
      <c r="P63" s="5">
        <f t="shared" si="14"/>
        <v>5.1978572118932444E-3</v>
      </c>
      <c r="Q63" s="6">
        <f t="shared" si="15"/>
        <v>0.28068428944223522</v>
      </c>
    </row>
    <row r="64" spans="1:17" x14ac:dyDescent="0.2">
      <c r="A64" s="40">
        <v>55</v>
      </c>
      <c r="B64" s="4">
        <f t="shared" si="0"/>
        <v>0</v>
      </c>
      <c r="C64" s="5">
        <f t="shared" si="1"/>
        <v>0</v>
      </c>
      <c r="D64" s="5">
        <f t="shared" si="2"/>
        <v>0</v>
      </c>
      <c r="E64" s="6">
        <f t="shared" si="3"/>
        <v>0</v>
      </c>
      <c r="F64" s="4">
        <f t="shared" si="4"/>
        <v>60</v>
      </c>
      <c r="G64" s="5">
        <f t="shared" si="5"/>
        <v>4.099584113785891</v>
      </c>
      <c r="H64" s="5">
        <f t="shared" si="6"/>
        <v>3.4470769397152638E-3</v>
      </c>
      <c r="I64" s="6">
        <f t="shared" si="7"/>
        <v>0.1895892316843395</v>
      </c>
      <c r="J64" s="4">
        <f t="shared" si="8"/>
        <v>15</v>
      </c>
      <c r="K64" s="5">
        <f t="shared" si="9"/>
        <v>1.0248960284464728</v>
      </c>
      <c r="L64" s="5">
        <f t="shared" si="10"/>
        <v>3.0369551329959754E-3</v>
      </c>
      <c r="M64" s="6">
        <f t="shared" si="11"/>
        <v>0.16703253231477866</v>
      </c>
      <c r="N64" s="4">
        <f t="shared" si="12"/>
        <v>15</v>
      </c>
      <c r="O64" s="5">
        <f t="shared" si="13"/>
        <v>2.9515075621029174</v>
      </c>
      <c r="P64" s="5">
        <f t="shared" si="14"/>
        <v>5.0464633125177133E-3</v>
      </c>
      <c r="Q64" s="6">
        <f t="shared" si="15"/>
        <v>0.27755548218847426</v>
      </c>
    </row>
    <row r="65" spans="1:17" x14ac:dyDescent="0.2">
      <c r="A65" s="40">
        <v>56</v>
      </c>
      <c r="B65" s="4">
        <f t="shared" si="0"/>
        <v>0</v>
      </c>
      <c r="C65" s="5">
        <f t="shared" si="1"/>
        <v>0</v>
      </c>
      <c r="D65" s="5">
        <f t="shared" si="2"/>
        <v>0</v>
      </c>
      <c r="E65" s="6">
        <f t="shared" si="3"/>
        <v>0</v>
      </c>
      <c r="F65" s="4">
        <f t="shared" si="4"/>
        <v>60</v>
      </c>
      <c r="G65" s="5">
        <f t="shared" si="5"/>
        <v>3.9043658226532303</v>
      </c>
      <c r="H65" s="5">
        <f t="shared" si="6"/>
        <v>3.2829304187764422E-3</v>
      </c>
      <c r="I65" s="6">
        <f t="shared" si="7"/>
        <v>0.18384410345148078</v>
      </c>
      <c r="J65" s="4">
        <f t="shared" si="8"/>
        <v>15</v>
      </c>
      <c r="K65" s="5">
        <f t="shared" si="9"/>
        <v>0.97609145566330757</v>
      </c>
      <c r="L65" s="5">
        <f t="shared" si="10"/>
        <v>2.8923382219009294E-3</v>
      </c>
      <c r="M65" s="6">
        <f t="shared" si="11"/>
        <v>0.16197094042645205</v>
      </c>
      <c r="N65" s="4">
        <f t="shared" si="12"/>
        <v>15</v>
      </c>
      <c r="O65" s="5">
        <f t="shared" si="13"/>
        <v>2.8655413224300177</v>
      </c>
      <c r="P65" s="5">
        <f t="shared" si="14"/>
        <v>4.899478944191956E-3</v>
      </c>
      <c r="Q65" s="6">
        <f t="shared" si="15"/>
        <v>0.27437082087474951</v>
      </c>
    </row>
    <row r="66" spans="1:17" x14ac:dyDescent="0.2">
      <c r="A66" s="40">
        <v>57</v>
      </c>
      <c r="B66" s="4">
        <f t="shared" si="0"/>
        <v>0</v>
      </c>
      <c r="C66" s="5">
        <f t="shared" si="1"/>
        <v>0</v>
      </c>
      <c r="D66" s="5">
        <f t="shared" si="2"/>
        <v>0</v>
      </c>
      <c r="E66" s="6">
        <f t="shared" si="3"/>
        <v>0</v>
      </c>
      <c r="F66" s="4">
        <f t="shared" si="4"/>
        <v>60</v>
      </c>
      <c r="G66" s="5">
        <f t="shared" si="5"/>
        <v>3.718443640622124</v>
      </c>
      <c r="H66" s="5">
        <f t="shared" si="6"/>
        <v>3.1266003988347068E-3</v>
      </c>
      <c r="I66" s="6">
        <f t="shared" si="7"/>
        <v>0.17821622273357829</v>
      </c>
      <c r="J66" s="4">
        <f t="shared" si="8"/>
        <v>15</v>
      </c>
      <c r="K66" s="5">
        <f t="shared" si="9"/>
        <v>0.92961091015553099</v>
      </c>
      <c r="L66" s="5">
        <f t="shared" si="10"/>
        <v>2.7546078303818376E-3</v>
      </c>
      <c r="M66" s="6">
        <f t="shared" si="11"/>
        <v>0.15701264633176473</v>
      </c>
      <c r="N66" s="4">
        <f t="shared" si="12"/>
        <v>15</v>
      </c>
      <c r="O66" s="5">
        <f t="shared" si="13"/>
        <v>2.7820789538155508</v>
      </c>
      <c r="P66" s="5">
        <f t="shared" si="14"/>
        <v>4.7567756739727721E-3</v>
      </c>
      <c r="Q66" s="6">
        <f t="shared" si="15"/>
        <v>0.271136213416448</v>
      </c>
    </row>
    <row r="67" spans="1:17" x14ac:dyDescent="0.2">
      <c r="A67" s="40">
        <v>58</v>
      </c>
      <c r="B67" s="4">
        <f t="shared" si="0"/>
        <v>0</v>
      </c>
      <c r="C67" s="5">
        <f t="shared" si="1"/>
        <v>0</v>
      </c>
      <c r="D67" s="5">
        <f t="shared" si="2"/>
        <v>0</v>
      </c>
      <c r="E67" s="6">
        <f t="shared" si="3"/>
        <v>0</v>
      </c>
      <c r="F67" s="4">
        <f t="shared" si="4"/>
        <v>60</v>
      </c>
      <c r="G67" s="5">
        <f t="shared" si="5"/>
        <v>3.5413748958305939</v>
      </c>
      <c r="H67" s="5">
        <f t="shared" si="6"/>
        <v>2.9777146655568633E-3</v>
      </c>
      <c r="I67" s="6">
        <f t="shared" si="7"/>
        <v>0.17270745060229808</v>
      </c>
      <c r="J67" s="4">
        <f t="shared" si="8"/>
        <v>15</v>
      </c>
      <c r="K67" s="5">
        <f t="shared" si="9"/>
        <v>0.88534372395764849</v>
      </c>
      <c r="L67" s="5">
        <f t="shared" si="10"/>
        <v>2.6234360289350829E-3</v>
      </c>
      <c r="M67" s="6">
        <f t="shared" si="11"/>
        <v>0.1521592896782348</v>
      </c>
      <c r="N67" s="4">
        <f t="shared" si="12"/>
        <v>15</v>
      </c>
      <c r="O67" s="5">
        <f t="shared" si="13"/>
        <v>2.7010475279762631</v>
      </c>
      <c r="P67" s="5">
        <f t="shared" si="14"/>
        <v>4.6182288096823032E-3</v>
      </c>
      <c r="Q67" s="6">
        <f t="shared" si="15"/>
        <v>0.26785727096157358</v>
      </c>
    </row>
    <row r="68" spans="1:17" x14ac:dyDescent="0.2">
      <c r="A68" s="40">
        <v>59</v>
      </c>
      <c r="B68" s="4">
        <f t="shared" si="0"/>
        <v>0</v>
      </c>
      <c r="C68" s="5">
        <f t="shared" si="1"/>
        <v>0</v>
      </c>
      <c r="D68" s="5">
        <f t="shared" si="2"/>
        <v>0</v>
      </c>
      <c r="E68" s="6">
        <f t="shared" si="3"/>
        <v>0</v>
      </c>
      <c r="F68" s="4">
        <f t="shared" si="4"/>
        <v>60</v>
      </c>
      <c r="G68" s="5">
        <f t="shared" si="5"/>
        <v>3.3727379960291368</v>
      </c>
      <c r="H68" s="5">
        <f t="shared" si="6"/>
        <v>2.8359187291017744E-3</v>
      </c>
      <c r="I68" s="6">
        <f t="shared" si="7"/>
        <v>0.1673192050170047</v>
      </c>
      <c r="J68" s="4">
        <f t="shared" si="8"/>
        <v>15</v>
      </c>
      <c r="K68" s="5">
        <f t="shared" si="9"/>
        <v>0.8431844990072842</v>
      </c>
      <c r="L68" s="5">
        <f t="shared" si="10"/>
        <v>2.4985105037476979E-3</v>
      </c>
      <c r="M68" s="6">
        <f t="shared" si="11"/>
        <v>0.14741211972111418</v>
      </c>
      <c r="N68" s="4">
        <f t="shared" si="12"/>
        <v>15</v>
      </c>
      <c r="O68" s="5">
        <f t="shared" si="13"/>
        <v>2.6223762407536535</v>
      </c>
      <c r="P68" s="5">
        <f t="shared" si="14"/>
        <v>4.4837172909536925E-3</v>
      </c>
      <c r="Q68" s="6">
        <f t="shared" si="15"/>
        <v>0.26453932016626786</v>
      </c>
    </row>
    <row r="69" spans="1:17" ht="17" thickBot="1" x14ac:dyDescent="0.25">
      <c r="A69" s="41">
        <v>60</v>
      </c>
      <c r="B69" s="7">
        <f t="shared" si="0"/>
        <v>0</v>
      </c>
      <c r="C69" s="8">
        <f t="shared" si="1"/>
        <v>0</v>
      </c>
      <c r="D69" s="8">
        <f t="shared" si="2"/>
        <v>0</v>
      </c>
      <c r="E69" s="9">
        <f t="shared" si="3"/>
        <v>0</v>
      </c>
      <c r="F69" s="7">
        <f t="shared" si="4"/>
        <v>1060</v>
      </c>
      <c r="G69" s="8">
        <f t="shared" si="5"/>
        <v>56.747655171283895</v>
      </c>
      <c r="H69" s="8">
        <f t="shared" si="6"/>
        <v>4.7715457981712402E-2</v>
      </c>
      <c r="I69" s="9">
        <f t="shared" si="7"/>
        <v>2.8629274789027441</v>
      </c>
      <c r="J69" s="4">
        <f t="shared" si="8"/>
        <v>1015</v>
      </c>
      <c r="K69" s="5">
        <f t="shared" si="9"/>
        <v>54.338556602691661</v>
      </c>
      <c r="L69" s="5">
        <f t="shared" si="10"/>
        <v>0.16101512135262946</v>
      </c>
      <c r="M69" s="6">
        <f t="shared" si="11"/>
        <v>9.6609072811577672</v>
      </c>
      <c r="N69" s="4">
        <f t="shared" si="12"/>
        <v>1015</v>
      </c>
      <c r="O69" s="5">
        <f t="shared" si="13"/>
        <v>172.27908636666396</v>
      </c>
      <c r="P69" s="5">
        <f t="shared" si="14"/>
        <v>0.29456136248012932</v>
      </c>
      <c r="Q69" s="6">
        <f t="shared" si="15"/>
        <v>17.673681748807759</v>
      </c>
    </row>
  </sheetData>
  <mergeCells count="4">
    <mergeCell ref="B8:E8"/>
    <mergeCell ref="F8:I8"/>
    <mergeCell ref="J8:M8"/>
    <mergeCell ref="N8:Q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58A0E-A05E-8643-B3B2-EC29D9911D81}">
  <dimension ref="A1:F17"/>
  <sheetViews>
    <sheetView workbookViewId="0">
      <selection activeCell="F13" sqref="F13:F17"/>
    </sheetView>
  </sheetViews>
  <sheetFormatPr baseColWidth="10" defaultRowHeight="16" x14ac:dyDescent="0.2"/>
  <cols>
    <col min="1" max="1" width="12" bestFit="1" customWidth="1"/>
  </cols>
  <sheetData>
    <row r="1" spans="1:6" x14ac:dyDescent="0.2">
      <c r="C1" t="s">
        <v>19</v>
      </c>
      <c r="D1" t="s">
        <v>22</v>
      </c>
      <c r="E1" t="s">
        <v>20</v>
      </c>
      <c r="F1" t="s">
        <v>21</v>
      </c>
    </row>
    <row r="2" spans="1:6" x14ac:dyDescent="0.2">
      <c r="B2" t="s">
        <v>9</v>
      </c>
      <c r="C2">
        <v>5</v>
      </c>
      <c r="D2">
        <v>30</v>
      </c>
      <c r="E2">
        <v>30</v>
      </c>
      <c r="F2">
        <v>30</v>
      </c>
    </row>
    <row r="3" spans="1:6" x14ac:dyDescent="0.2">
      <c r="B3" t="s">
        <v>18</v>
      </c>
      <c r="C3">
        <v>0.12</v>
      </c>
      <c r="D3">
        <v>0.12</v>
      </c>
      <c r="E3">
        <v>0.03</v>
      </c>
      <c r="F3">
        <v>0.03</v>
      </c>
    </row>
    <row r="4" spans="1:6" x14ac:dyDescent="0.2">
      <c r="B4" t="s">
        <v>11</v>
      </c>
      <c r="C4">
        <v>0.1</v>
      </c>
      <c r="D4">
        <v>0.1</v>
      </c>
      <c r="E4">
        <v>0.1</v>
      </c>
      <c r="F4">
        <v>0.06</v>
      </c>
    </row>
    <row r="5" spans="1:6" x14ac:dyDescent="0.2">
      <c r="B5" t="s">
        <v>12</v>
      </c>
      <c r="C5">
        <v>1000</v>
      </c>
      <c r="D5">
        <v>1000</v>
      </c>
      <c r="E5">
        <v>1000</v>
      </c>
      <c r="F5">
        <v>1000</v>
      </c>
    </row>
    <row r="6" spans="1:6" x14ac:dyDescent="0.2">
      <c r="A6" t="s">
        <v>27</v>
      </c>
      <c r="B6" t="s">
        <v>25</v>
      </c>
      <c r="C6" s="2">
        <f>'Exercise 2'!B6</f>
        <v>3.7581660479993224</v>
      </c>
      <c r="D6" s="2">
        <f>'Exercise 2'!C6</f>
        <v>9.2926279814031822</v>
      </c>
      <c r="E6" s="2">
        <f>'Exercise 2'!D6</f>
        <v>11.586355875395364</v>
      </c>
      <c r="F6" s="2">
        <f>'Exercise 2'!E6</f>
        <v>16.056196261220578</v>
      </c>
    </row>
    <row r="7" spans="1:6" x14ac:dyDescent="0.2">
      <c r="A7">
        <v>1E-4</v>
      </c>
      <c r="B7" t="s">
        <v>7</v>
      </c>
      <c r="C7" s="1">
        <f>-PV(C$4/2+$A7,C$2*2,C$3*C$5/2,C$5)</f>
        <v>1076.4080655505663</v>
      </c>
      <c r="D7" s="1">
        <f t="shared" ref="D7:F7" si="0">-PV(D$4/2+$A7,D$2*2,D$3*D$5/2,D$5)</f>
        <v>1187.0861899391191</v>
      </c>
      <c r="E7" s="1">
        <f t="shared" si="0"/>
        <v>336.69441748857696</v>
      </c>
      <c r="F7" s="1">
        <f t="shared" si="0"/>
        <v>582.99281927875347</v>
      </c>
    </row>
    <row r="8" spans="1:6" x14ac:dyDescent="0.2">
      <c r="A8">
        <v>0</v>
      </c>
      <c r="B8" t="s">
        <v>7</v>
      </c>
      <c r="C8" s="1">
        <f t="shared" ref="C8:F9" si="1">-PV(C$4/2+$A8,C$2*2,C$3*C$5/2,C$5)</f>
        <v>1077.217349291848</v>
      </c>
      <c r="D8" s="1">
        <f t="shared" si="1"/>
        <v>1189.2928952507009</v>
      </c>
      <c r="E8" s="1">
        <f t="shared" si="1"/>
        <v>337.4748666225459</v>
      </c>
      <c r="F8" s="1">
        <f t="shared" si="1"/>
        <v>584.86654500820896</v>
      </c>
    </row>
    <row r="9" spans="1:6" x14ac:dyDescent="0.2">
      <c r="A9">
        <v>-1E-4</v>
      </c>
      <c r="B9" t="s">
        <v>7</v>
      </c>
      <c r="C9" s="1">
        <f t="shared" si="1"/>
        <v>1078.0274105011615</v>
      </c>
      <c r="D9" s="1">
        <f t="shared" si="1"/>
        <v>1191.5068627840703</v>
      </c>
      <c r="E9" s="1">
        <f t="shared" si="1"/>
        <v>338.25846424118208</v>
      </c>
      <c r="F9" s="1">
        <f t="shared" si="1"/>
        <v>586.74912797195691</v>
      </c>
    </row>
    <row r="10" spans="1:6" x14ac:dyDescent="0.2">
      <c r="B10" t="s">
        <v>23</v>
      </c>
      <c r="C10" s="2">
        <f>(C7-C9)/2</f>
        <v>-0.80967247529758879</v>
      </c>
      <c r="D10" s="2">
        <f t="shared" ref="D10:F10" si="2">(D7-D9)/2</f>
        <v>-2.2103364224756206</v>
      </c>
      <c r="E10" s="2">
        <f t="shared" si="2"/>
        <v>-0.78202337630256125</v>
      </c>
      <c r="F10" s="2">
        <f t="shared" si="2"/>
        <v>-1.8781543466017183</v>
      </c>
    </row>
    <row r="11" spans="1:6" x14ac:dyDescent="0.2">
      <c r="B11" t="s">
        <v>26</v>
      </c>
      <c r="C11" s="1">
        <f>-C10/(2*C8*0.0001)</f>
        <v>3.7581667053072412</v>
      </c>
      <c r="D11" s="1">
        <f t="shared" ref="D11:F11" si="3">-D10/(2*D8*0.0001)</f>
        <v>9.2926495706076064</v>
      </c>
      <c r="E11" s="1">
        <f t="shared" si="3"/>
        <v>11.586394331066254</v>
      </c>
      <c r="F11" s="1">
        <f t="shared" si="3"/>
        <v>16.05626413950004</v>
      </c>
    </row>
    <row r="12" spans="1:6" x14ac:dyDescent="0.2">
      <c r="B12" t="s">
        <v>24</v>
      </c>
      <c r="C12" s="1">
        <f>-2*C11*0.0001*C8</f>
        <v>-0.8096724752975889</v>
      </c>
      <c r="D12" s="1">
        <f t="shared" ref="D12:F12" si="4">-2*D11*0.0001*D8</f>
        <v>-2.2103364224756206</v>
      </c>
      <c r="E12" s="1">
        <f t="shared" si="4"/>
        <v>-0.78202337630256114</v>
      </c>
      <c r="F12" s="1">
        <f t="shared" si="4"/>
        <v>-1.8781543466017183</v>
      </c>
    </row>
    <row r="13" spans="1:6" x14ac:dyDescent="0.2">
      <c r="A13">
        <v>0.01</v>
      </c>
      <c r="B13" t="s">
        <v>7</v>
      </c>
      <c r="C13" s="1">
        <f>-PV(C$4/2+$A13,C$2*2,C$3*C$5/2,C$5)</f>
        <v>999.99999999999989</v>
      </c>
      <c r="D13" s="1">
        <f t="shared" ref="D13:F13" si="5">-PV(D$4/2+$A13,D$2*2,D$3*D$5/2,D$5)</f>
        <v>999.99999999999989</v>
      </c>
      <c r="E13" s="1">
        <f t="shared" si="5"/>
        <v>272.73575326428863</v>
      </c>
      <c r="F13" s="1">
        <f t="shared" si="5"/>
        <v>434.41275063806512</v>
      </c>
    </row>
    <row r="14" spans="1:6" x14ac:dyDescent="0.2">
      <c r="A14">
        <v>0</v>
      </c>
      <c r="B14" t="s">
        <v>7</v>
      </c>
      <c r="C14" s="1">
        <f t="shared" ref="C14:F15" si="6">-PV(C$4/2+$A14,C$2*2,C$3*C$5/2,C$5)</f>
        <v>1077.217349291848</v>
      </c>
      <c r="D14" s="1">
        <f t="shared" si="6"/>
        <v>1189.2928952507009</v>
      </c>
      <c r="E14" s="1">
        <f t="shared" si="6"/>
        <v>337.4748666225459</v>
      </c>
      <c r="F14" s="1">
        <f t="shared" si="6"/>
        <v>584.86654500820896</v>
      </c>
    </row>
    <row r="15" spans="1:6" x14ac:dyDescent="0.2">
      <c r="A15">
        <v>-0.01</v>
      </c>
      <c r="B15" t="s">
        <v>7</v>
      </c>
      <c r="C15" s="1">
        <f t="shared" si="6"/>
        <v>1162.2179155871006</v>
      </c>
      <c r="D15" s="1">
        <f t="shared" si="6"/>
        <v>1452.469799489548</v>
      </c>
      <c r="E15" s="1">
        <f t="shared" si="6"/>
        <v>434.41275063806512</v>
      </c>
      <c r="F15" s="1">
        <f t="shared" si="6"/>
        <v>826.1955666147677</v>
      </c>
    </row>
    <row r="16" spans="1:6" x14ac:dyDescent="0.2">
      <c r="B16" t="s">
        <v>23</v>
      </c>
      <c r="C16" s="2">
        <f>(C13-C15)/2/100</f>
        <v>-0.81108957793550363</v>
      </c>
      <c r="D16" s="2">
        <f t="shared" ref="D16:F16" si="7">(D13-D15)/2/100</f>
        <v>-2.2623489974477407</v>
      </c>
      <c r="E16" s="2">
        <f t="shared" si="7"/>
        <v>-0.80838498686888238</v>
      </c>
      <c r="F16" s="2">
        <f t="shared" si="7"/>
        <v>-1.958914079883513</v>
      </c>
    </row>
    <row r="17" spans="2:6" x14ac:dyDescent="0.2">
      <c r="B17" t="s">
        <v>26</v>
      </c>
      <c r="C17" s="2">
        <f>-C16/(2*C8*0.0001)</f>
        <v>3.7647443130613607</v>
      </c>
      <c r="D17" s="2">
        <f t="shared" ref="D17:F17" si="8">-D16/(2*D8*0.0001)</f>
        <v>9.511319736635782</v>
      </c>
      <c r="E17" s="2">
        <f t="shared" si="8"/>
        <v>11.976965795397044</v>
      </c>
      <c r="F17" s="2">
        <f t="shared" si="8"/>
        <v>16.74667577247061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Exercise 1</vt:lpstr>
      <vt:lpstr>Exercise 2</vt:lpstr>
      <vt:lpstr>Exercise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Wenning, Derek Thomas</dc:creator>
  <cp:lastModifiedBy>Wenning, Derek Thomas</cp:lastModifiedBy>
  <dcterms:created xsi:type="dcterms:W3CDTF">2026-03-10T14:23:07Z</dcterms:created>
  <dcterms:modified xsi:type="dcterms:W3CDTF">2026-03-10T19:40:29Z</dcterms:modified>
</cp:coreProperties>
</file>