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wennin/Dropbox/Teaching_IU/F420_S2026/Lectures/"/>
    </mc:Choice>
  </mc:AlternateContent>
  <xr:revisionPtr revIDLastSave="0" documentId="13_ncr:1_{7D302CA3-EC6E-5442-B5ED-9295D903B10A}" xr6:coauthVersionLast="47" xr6:coauthVersionMax="47" xr10:uidLastSave="{00000000-0000-0000-0000-000000000000}"/>
  <bookViews>
    <workbookView xWindow="1100" yWindow="820" windowWidth="28040" windowHeight="17440" activeTab="1" xr2:uid="{79DC80D8-8FEB-E947-A5CB-39D455A00B61}"/>
  </bookViews>
  <sheets>
    <sheet name="Sheet1" sheetId="1" r:id="rId1"/>
    <sheet name="Amortization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2" l="1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22" i="2"/>
  <c r="O15" i="2"/>
  <c r="O16" i="2"/>
  <c r="O17" i="2"/>
  <c r="O18" i="2"/>
  <c r="O19" i="2"/>
  <c r="O20" i="2"/>
  <c r="O21" i="2"/>
  <c r="O14" i="2"/>
  <c r="N11" i="2"/>
  <c r="J15" i="2"/>
  <c r="K15" i="2"/>
  <c r="L15" i="2"/>
  <c r="H16" i="2"/>
  <c r="J16" i="2"/>
  <c r="K16" i="2"/>
  <c r="L16" i="2"/>
  <c r="H17" i="2"/>
  <c r="J17" i="2"/>
  <c r="K17" i="2"/>
  <c r="L17" i="2"/>
  <c r="H18" i="2"/>
  <c r="J18" i="2"/>
  <c r="K18" i="2"/>
  <c r="L18" i="2"/>
  <c r="H19" i="2"/>
  <c r="J19" i="2"/>
  <c r="K19" i="2"/>
  <c r="L19" i="2"/>
  <c r="H20" i="2"/>
  <c r="J20" i="2"/>
  <c r="K20" i="2"/>
  <c r="L20" i="2"/>
  <c r="H21" i="2"/>
  <c r="J21" i="2"/>
  <c r="K21" i="2"/>
  <c r="L21" i="2"/>
  <c r="H22" i="2"/>
  <c r="J22" i="2"/>
  <c r="K22" i="2"/>
  <c r="L22" i="2"/>
  <c r="H23" i="2"/>
  <c r="J23" i="2"/>
  <c r="K23" i="2"/>
  <c r="L23" i="2"/>
  <c r="H24" i="2"/>
  <c r="J24" i="2"/>
  <c r="K24" i="2"/>
  <c r="L24" i="2"/>
  <c r="H25" i="2"/>
  <c r="J25" i="2"/>
  <c r="K25" i="2"/>
  <c r="L25" i="2"/>
  <c r="H26" i="2"/>
  <c r="J26" i="2"/>
  <c r="K26" i="2"/>
  <c r="L26" i="2"/>
  <c r="H27" i="2"/>
  <c r="J27" i="2"/>
  <c r="K27" i="2"/>
  <c r="L27" i="2"/>
  <c r="H28" i="2"/>
  <c r="J28" i="2"/>
  <c r="K28" i="2"/>
  <c r="L28" i="2"/>
  <c r="H29" i="2"/>
  <c r="J29" i="2"/>
  <c r="K29" i="2"/>
  <c r="L29" i="2"/>
  <c r="H30" i="2"/>
  <c r="J30" i="2"/>
  <c r="K30" i="2"/>
  <c r="L30" i="2"/>
  <c r="H31" i="2"/>
  <c r="J31" i="2"/>
  <c r="K31" i="2"/>
  <c r="L31" i="2"/>
  <c r="H32" i="2"/>
  <c r="J32" i="2"/>
  <c r="K32" i="2"/>
  <c r="L32" i="2"/>
  <c r="H33" i="2"/>
  <c r="J33" i="2"/>
  <c r="K33" i="2"/>
  <c r="L33" i="2"/>
  <c r="H34" i="2"/>
  <c r="J34" i="2"/>
  <c r="K34" i="2"/>
  <c r="L34" i="2"/>
  <c r="H35" i="2"/>
  <c r="J35" i="2"/>
  <c r="K35" i="2"/>
  <c r="L35" i="2"/>
  <c r="H36" i="2"/>
  <c r="J36" i="2"/>
  <c r="K36" i="2"/>
  <c r="L36" i="2"/>
  <c r="H37" i="2"/>
  <c r="J37" i="2"/>
  <c r="J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14" i="2"/>
  <c r="H11" i="2"/>
  <c r="H8" i="2"/>
  <c r="N14" i="2"/>
  <c r="B10" i="2"/>
  <c r="B9" i="2"/>
  <c r="B11" i="2"/>
  <c r="P14" i="2"/>
  <c r="Q14" i="2"/>
  <c r="R14" i="2"/>
  <c r="N15" i="2"/>
  <c r="P15" i="2"/>
  <c r="Q15" i="2"/>
  <c r="R15" i="2"/>
  <c r="N16" i="2"/>
  <c r="P16" i="2"/>
  <c r="Q16" i="2"/>
  <c r="R16" i="2"/>
  <c r="N17" i="2"/>
  <c r="P17" i="2"/>
  <c r="Q17" i="2"/>
  <c r="R17" i="2"/>
  <c r="N18" i="2"/>
  <c r="P18" i="2"/>
  <c r="Q18" i="2"/>
  <c r="R18" i="2"/>
  <c r="N19" i="2"/>
  <c r="P19" i="2"/>
  <c r="Q19" i="2"/>
  <c r="R19" i="2"/>
  <c r="N20" i="2"/>
  <c r="P20" i="2"/>
  <c r="Q20" i="2"/>
  <c r="R20" i="2"/>
  <c r="N21" i="2"/>
  <c r="P21" i="2"/>
  <c r="Q21" i="2"/>
  <c r="R21" i="2"/>
  <c r="N22" i="2"/>
  <c r="P22" i="2"/>
  <c r="Q22" i="2"/>
  <c r="R22" i="2"/>
  <c r="N23" i="2"/>
  <c r="P23" i="2"/>
  <c r="Q23" i="2"/>
  <c r="R23" i="2"/>
  <c r="N24" i="2"/>
  <c r="P24" i="2"/>
  <c r="Q24" i="2"/>
  <c r="R24" i="2"/>
  <c r="N25" i="2"/>
  <c r="P25" i="2"/>
  <c r="Q25" i="2"/>
  <c r="R25" i="2"/>
  <c r="N26" i="2"/>
  <c r="P26" i="2"/>
  <c r="Q26" i="2"/>
  <c r="R26" i="2"/>
  <c r="N27" i="2"/>
  <c r="P27" i="2"/>
  <c r="Q27" i="2"/>
  <c r="R27" i="2"/>
  <c r="N28" i="2"/>
  <c r="P28" i="2"/>
  <c r="Q28" i="2"/>
  <c r="R28" i="2"/>
  <c r="N29" i="2"/>
  <c r="P29" i="2"/>
  <c r="Q29" i="2"/>
  <c r="R29" i="2"/>
  <c r="N30" i="2"/>
  <c r="P30" i="2"/>
  <c r="Q30" i="2"/>
  <c r="R30" i="2"/>
  <c r="N31" i="2"/>
  <c r="P31" i="2"/>
  <c r="Q31" i="2"/>
  <c r="R31" i="2"/>
  <c r="N32" i="2"/>
  <c r="P32" i="2"/>
  <c r="Q32" i="2"/>
  <c r="R32" i="2"/>
  <c r="N33" i="2"/>
  <c r="P33" i="2"/>
  <c r="Q33" i="2"/>
  <c r="R33" i="2"/>
  <c r="N34" i="2"/>
  <c r="P34" i="2"/>
  <c r="Q34" i="2"/>
  <c r="R34" i="2"/>
  <c r="N35" i="2"/>
  <c r="P35" i="2"/>
  <c r="Q35" i="2"/>
  <c r="R35" i="2"/>
  <c r="N36" i="2"/>
  <c r="P36" i="2"/>
  <c r="Q36" i="2"/>
  <c r="R36" i="2"/>
  <c r="N37" i="2"/>
  <c r="P37" i="2"/>
  <c r="Q37" i="2"/>
  <c r="R37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N10" i="2"/>
  <c r="N9" i="2"/>
  <c r="H14" i="2"/>
  <c r="K14" i="2"/>
  <c r="L14" i="2"/>
  <c r="H15" i="2"/>
  <c r="K37" i="2"/>
  <c r="L37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H10" i="2"/>
  <c r="H9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2" i="1"/>
  <c r="E12" i="1"/>
  <c r="D12" i="1"/>
  <c r="C12" i="1"/>
  <c r="B12" i="1"/>
  <c r="F11" i="1"/>
  <c r="E11" i="1"/>
  <c r="D11" i="1"/>
  <c r="C11" i="1"/>
  <c r="B11" i="1"/>
  <c r="B8" i="1"/>
  <c r="B7" i="1"/>
  <c r="B6" i="1"/>
</calcChain>
</file>

<file path=xl/sharedStrings.xml><?xml version="1.0" encoding="utf-8"?>
<sst xmlns="http://schemas.openxmlformats.org/spreadsheetml/2006/main" count="65" uniqueCount="22">
  <si>
    <t>Payments per year</t>
  </si>
  <si>
    <t>Loan amount</t>
  </si>
  <si>
    <t>Total number of payments</t>
  </si>
  <si>
    <t>Periodic interest rate</t>
  </si>
  <si>
    <t>Periodic payment</t>
  </si>
  <si>
    <t>Annual interest rate</t>
  </si>
  <si>
    <t>Maturity (in years)</t>
  </si>
  <si>
    <t>Month</t>
  </si>
  <si>
    <t>Balance</t>
  </si>
  <si>
    <t>Payment</t>
  </si>
  <si>
    <t xml:space="preserve">Interest </t>
  </si>
  <si>
    <t>Amortization</t>
  </si>
  <si>
    <t>New Balance</t>
  </si>
  <si>
    <t>Amortization Schedule for a Fully Amortized Fixed Rate Loan</t>
  </si>
  <si>
    <t>Balloon Payment</t>
  </si>
  <si>
    <t>PV of Balloon Payment</t>
  </si>
  <si>
    <t>Lockin Periods</t>
  </si>
  <si>
    <t>Lockin periods</t>
  </si>
  <si>
    <t>Balloon payment</t>
  </si>
  <si>
    <t>PV of balloon payment</t>
  </si>
  <si>
    <t>Amortization Schedule for an Interest-Only Loan</t>
  </si>
  <si>
    <t>Amortization Schedule for a Balloon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</si>
</sst>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2" borderId="0" xfId="0" applyFon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0" xfId="0" applyFill="1" applyBorder="1"/>
    <xf numFmtId="0" fontId="0" fillId="4" borderId="5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BE1C-EEBB-A041-9E4E-918821EF17CB}">
  <dimension ref="A1:F16"/>
  <sheetViews>
    <sheetView workbookViewId="0">
      <selection activeCell="A16" sqref="A1:F16"/>
    </sheetView>
  </sheetViews>
  <sheetFormatPr baseColWidth="10" defaultRowHeight="16" x14ac:dyDescent="0.2"/>
  <cols>
    <col min="1" max="1" width="22" bestFit="1" customWidth="1"/>
    <col min="6" max="6" width="12.1640625" bestFit="1" customWidth="1"/>
  </cols>
  <sheetData>
    <row r="1" spans="1:6" ht="17" thickBot="1" x14ac:dyDescent="0.25">
      <c r="A1" s="10" t="s">
        <v>13</v>
      </c>
      <c r="B1" s="11"/>
      <c r="C1" s="11"/>
      <c r="D1" s="11"/>
      <c r="E1" s="11"/>
      <c r="F1" s="12"/>
    </row>
    <row r="2" spans="1:6" x14ac:dyDescent="0.2">
      <c r="A2" s="1" t="s">
        <v>5</v>
      </c>
      <c r="B2" s="2">
        <v>0.08</v>
      </c>
      <c r="C2" s="2"/>
      <c r="D2" s="2"/>
      <c r="E2" s="2"/>
      <c r="F2" s="3"/>
    </row>
    <row r="3" spans="1:6" x14ac:dyDescent="0.2">
      <c r="A3" s="1" t="s">
        <v>0</v>
      </c>
      <c r="B3" s="2">
        <v>12</v>
      </c>
      <c r="C3" s="2"/>
      <c r="D3" s="2"/>
      <c r="E3" s="2"/>
      <c r="F3" s="3"/>
    </row>
    <row r="4" spans="1:6" x14ac:dyDescent="0.2">
      <c r="A4" s="1" t="s">
        <v>6</v>
      </c>
      <c r="B4" s="2">
        <v>0.5</v>
      </c>
      <c r="C4" s="2"/>
      <c r="D4" s="2"/>
      <c r="E4" s="2"/>
      <c r="F4" s="3"/>
    </row>
    <row r="5" spans="1:6" x14ac:dyDescent="0.2">
      <c r="A5" s="1" t="s">
        <v>1</v>
      </c>
      <c r="B5" s="2">
        <v>50000</v>
      </c>
      <c r="C5" s="2"/>
      <c r="D5" s="2"/>
      <c r="E5" s="2"/>
      <c r="F5" s="3"/>
    </row>
    <row r="6" spans="1:6" x14ac:dyDescent="0.2">
      <c r="A6" s="1" t="s">
        <v>2</v>
      </c>
      <c r="B6" s="2">
        <f>B3*B4</f>
        <v>6</v>
      </c>
      <c r="C6" s="2"/>
      <c r="D6" s="2"/>
      <c r="E6" s="2"/>
      <c r="F6" s="3"/>
    </row>
    <row r="7" spans="1:6" x14ac:dyDescent="0.2">
      <c r="A7" s="1" t="s">
        <v>3</v>
      </c>
      <c r="B7" s="2">
        <f>B2/B3</f>
        <v>6.6666666666666671E-3</v>
      </c>
      <c r="C7" s="2"/>
      <c r="D7" s="2"/>
      <c r="E7" s="2"/>
      <c r="F7" s="3"/>
    </row>
    <row r="8" spans="1:6" x14ac:dyDescent="0.2">
      <c r="A8" s="1" t="s">
        <v>4</v>
      </c>
      <c r="B8" s="2">
        <f>B7*(1+B7)^B6/((1+B7)^B6-1)*B5</f>
        <v>8528.8544104805605</v>
      </c>
      <c r="C8" s="2"/>
      <c r="D8" s="2"/>
      <c r="E8" s="2"/>
      <c r="F8" s="3"/>
    </row>
    <row r="9" spans="1:6" ht="17" thickBot="1" x14ac:dyDescent="0.25">
      <c r="A9" s="1"/>
      <c r="B9" s="2"/>
      <c r="C9" s="2"/>
      <c r="D9" s="2"/>
      <c r="E9" s="2"/>
      <c r="F9" s="3"/>
    </row>
    <row r="10" spans="1:6" ht="17" thickBot="1" x14ac:dyDescent="0.25">
      <c r="A10" s="13" t="s">
        <v>7</v>
      </c>
      <c r="B10" s="14" t="s">
        <v>8</v>
      </c>
      <c r="C10" s="14" t="s">
        <v>9</v>
      </c>
      <c r="D10" s="14" t="s">
        <v>10</v>
      </c>
      <c r="E10" s="14" t="s">
        <v>11</v>
      </c>
      <c r="F10" s="15" t="s">
        <v>12</v>
      </c>
    </row>
    <row r="11" spans="1:6" x14ac:dyDescent="0.2">
      <c r="A11" s="1">
        <v>1</v>
      </c>
      <c r="B11" s="2">
        <f>B5</f>
        <v>50000</v>
      </c>
      <c r="C11" s="2">
        <f>$B$8</f>
        <v>8528.8544104805605</v>
      </c>
      <c r="D11" s="2">
        <f>$B$7*B11</f>
        <v>333.33333333333337</v>
      </c>
      <c r="E11" s="2">
        <f>C11-D11</f>
        <v>8195.5210771472266</v>
      </c>
      <c r="F11" s="3">
        <f>B11-E11</f>
        <v>41804.478922852773</v>
      </c>
    </row>
    <row r="12" spans="1:6" x14ac:dyDescent="0.2">
      <c r="A12" s="1">
        <v>2</v>
      </c>
      <c r="B12" s="2">
        <f>F11</f>
        <v>41804.478922852773</v>
      </c>
      <c r="C12" s="2">
        <f>$B$8</f>
        <v>8528.8544104805605</v>
      </c>
      <c r="D12" s="2">
        <f>$B$7*B12</f>
        <v>278.69652615235185</v>
      </c>
      <c r="E12" s="2">
        <f>C12-D12</f>
        <v>8250.1578843282095</v>
      </c>
      <c r="F12" s="3">
        <f>B12-E12</f>
        <v>33554.321038524562</v>
      </c>
    </row>
    <row r="13" spans="1:6" x14ac:dyDescent="0.2">
      <c r="A13" s="1">
        <v>3</v>
      </c>
      <c r="B13" s="2">
        <f t="shared" ref="B13:B16" si="0">F12</f>
        <v>33554.321038524562</v>
      </c>
      <c r="C13" s="2">
        <f t="shared" ref="C13:C16" si="1">$B$8</f>
        <v>8528.8544104805605</v>
      </c>
      <c r="D13" s="2">
        <f t="shared" ref="D13:D16" si="2">$B$7*B13</f>
        <v>223.69547359016377</v>
      </c>
      <c r="E13" s="2">
        <f t="shared" ref="E13:E16" si="3">C13-D13</f>
        <v>8305.1589368903969</v>
      </c>
      <c r="F13" s="3">
        <f t="shared" ref="F13:F16" si="4">B13-E13</f>
        <v>25249.162101634167</v>
      </c>
    </row>
    <row r="14" spans="1:6" x14ac:dyDescent="0.2">
      <c r="A14" s="1">
        <v>4</v>
      </c>
      <c r="B14" s="2">
        <f t="shared" si="0"/>
        <v>25249.162101634167</v>
      </c>
      <c r="C14" s="2">
        <f t="shared" si="1"/>
        <v>8528.8544104805605</v>
      </c>
      <c r="D14" s="2">
        <f t="shared" si="2"/>
        <v>168.32774734422779</v>
      </c>
      <c r="E14" s="2">
        <f t="shared" si="3"/>
        <v>8360.526663136332</v>
      </c>
      <c r="F14" s="3">
        <f t="shared" si="4"/>
        <v>16888.635438497833</v>
      </c>
    </row>
    <row r="15" spans="1:6" x14ac:dyDescent="0.2">
      <c r="A15" s="1">
        <v>5</v>
      </c>
      <c r="B15" s="2">
        <f t="shared" si="0"/>
        <v>16888.635438497833</v>
      </c>
      <c r="C15" s="2">
        <f t="shared" si="1"/>
        <v>8528.8544104805605</v>
      </c>
      <c r="D15" s="2">
        <f t="shared" si="2"/>
        <v>112.59090292331889</v>
      </c>
      <c r="E15" s="2">
        <f t="shared" si="3"/>
        <v>8416.2635075572416</v>
      </c>
      <c r="F15" s="3">
        <f t="shared" si="4"/>
        <v>8472.3719309405915</v>
      </c>
    </row>
    <row r="16" spans="1:6" ht="17" thickBot="1" x14ac:dyDescent="0.25">
      <c r="A16" s="4">
        <v>6</v>
      </c>
      <c r="B16" s="5">
        <f t="shared" si="0"/>
        <v>8472.3719309405915</v>
      </c>
      <c r="C16" s="5">
        <f t="shared" si="1"/>
        <v>8528.8544104805605</v>
      </c>
      <c r="D16" s="5">
        <f t="shared" si="2"/>
        <v>56.482479539603943</v>
      </c>
      <c r="E16" s="5">
        <f t="shared" si="3"/>
        <v>8472.3719309409571</v>
      </c>
      <c r="F16" s="6">
        <v>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34EC-4464-0447-BDAA-BD64145F6D8E}">
  <dimension ref="A1:R37"/>
  <sheetViews>
    <sheetView tabSelected="1" workbookViewId="0">
      <selection activeCell="P6" sqref="P6"/>
    </sheetView>
  </sheetViews>
  <sheetFormatPr baseColWidth="10" defaultRowHeight="16" x14ac:dyDescent="0.2"/>
  <cols>
    <col min="1" max="1" width="22" bestFit="1" customWidth="1"/>
    <col min="2" max="2" width="12.1640625" bestFit="1" customWidth="1"/>
    <col min="3" max="3" width="8.5" bestFit="1" customWidth="1"/>
    <col min="4" max="4" width="8" bestFit="1" customWidth="1"/>
    <col min="5" max="6" width="11.83203125" bestFit="1" customWidth="1"/>
    <col min="7" max="7" width="22" bestFit="1" customWidth="1"/>
    <col min="8" max="8" width="12.1640625" bestFit="1" customWidth="1"/>
    <col min="9" max="9" width="8.5" bestFit="1" customWidth="1"/>
    <col min="10" max="10" width="8" bestFit="1" customWidth="1"/>
    <col min="11" max="12" width="11.83203125" bestFit="1" customWidth="1"/>
    <col min="13" max="13" width="22" bestFit="1" customWidth="1"/>
    <col min="14" max="14" width="12.1640625" bestFit="1" customWidth="1"/>
    <col min="15" max="15" width="8.5" bestFit="1" customWidth="1"/>
    <col min="16" max="16" width="8" bestFit="1" customWidth="1"/>
    <col min="17" max="18" width="11.83203125" bestFit="1" customWidth="1"/>
  </cols>
  <sheetData>
    <row r="1" spans="1:18" x14ac:dyDescent="0.2">
      <c r="A1" s="7" t="s">
        <v>13</v>
      </c>
      <c r="B1" s="8"/>
      <c r="C1" s="8"/>
      <c r="D1" s="8"/>
      <c r="E1" s="8"/>
      <c r="F1" s="9"/>
      <c r="G1" s="7" t="s">
        <v>21</v>
      </c>
      <c r="H1" s="8"/>
      <c r="I1" s="8"/>
      <c r="J1" s="8"/>
      <c r="K1" s="8"/>
      <c r="L1" s="9"/>
      <c r="M1" s="7" t="s">
        <v>20</v>
      </c>
      <c r="N1" s="8"/>
      <c r="O1" s="8"/>
      <c r="P1" s="8"/>
      <c r="Q1" s="8"/>
      <c r="R1" s="9"/>
    </row>
    <row r="2" spans="1:18" x14ac:dyDescent="0.2">
      <c r="A2" s="1" t="s">
        <v>5</v>
      </c>
      <c r="B2" s="2">
        <v>0.1</v>
      </c>
      <c r="C2" s="2"/>
      <c r="D2" s="2"/>
      <c r="E2" s="2"/>
      <c r="F2" s="3"/>
      <c r="G2" s="1" t="s">
        <v>5</v>
      </c>
      <c r="H2" s="2">
        <v>0.1</v>
      </c>
      <c r="I2" s="2"/>
      <c r="J2" s="2"/>
      <c r="K2" s="2"/>
      <c r="L2" s="3"/>
      <c r="M2" s="1" t="s">
        <v>5</v>
      </c>
      <c r="N2" s="2">
        <v>0.1</v>
      </c>
      <c r="O2" s="2"/>
      <c r="P2" s="2"/>
      <c r="Q2" s="2"/>
      <c r="R2" s="3"/>
    </row>
    <row r="3" spans="1:18" x14ac:dyDescent="0.2">
      <c r="A3" s="1" t="s">
        <v>0</v>
      </c>
      <c r="B3" s="2">
        <v>12</v>
      </c>
      <c r="C3" s="2"/>
      <c r="D3" s="2"/>
      <c r="E3" s="2"/>
      <c r="F3" s="3"/>
      <c r="G3" s="1" t="s">
        <v>0</v>
      </c>
      <c r="H3" s="2">
        <v>12</v>
      </c>
      <c r="I3" s="2"/>
      <c r="J3" s="2"/>
      <c r="K3" s="2"/>
      <c r="L3" s="3"/>
      <c r="M3" s="1" t="s">
        <v>0</v>
      </c>
      <c r="N3" s="2">
        <v>12</v>
      </c>
      <c r="O3" s="2"/>
      <c r="P3" s="2"/>
      <c r="Q3" s="2"/>
      <c r="R3" s="3"/>
    </row>
    <row r="4" spans="1:18" x14ac:dyDescent="0.2">
      <c r="A4" s="1" t="s">
        <v>6</v>
      </c>
      <c r="B4" s="2">
        <v>2</v>
      </c>
      <c r="C4" s="2"/>
      <c r="D4" s="2"/>
      <c r="E4" s="2"/>
      <c r="F4" s="3"/>
      <c r="G4" s="1" t="s">
        <v>6</v>
      </c>
      <c r="H4" s="2">
        <v>2</v>
      </c>
      <c r="I4" s="2"/>
      <c r="J4" s="2"/>
      <c r="K4" s="2"/>
      <c r="L4" s="3"/>
      <c r="M4" s="1" t="s">
        <v>6</v>
      </c>
      <c r="N4" s="2">
        <v>2</v>
      </c>
      <c r="O4" s="2"/>
      <c r="P4" s="2"/>
      <c r="Q4" s="2"/>
      <c r="R4" s="3"/>
    </row>
    <row r="5" spans="1:18" x14ac:dyDescent="0.2">
      <c r="A5" s="1" t="s">
        <v>16</v>
      </c>
      <c r="B5" s="2">
        <v>0</v>
      </c>
      <c r="C5" s="2"/>
      <c r="D5" s="2"/>
      <c r="E5" s="2"/>
      <c r="F5" s="3"/>
      <c r="G5" s="1" t="s">
        <v>17</v>
      </c>
      <c r="H5" s="2">
        <v>0</v>
      </c>
      <c r="I5" s="2"/>
      <c r="J5" s="2"/>
      <c r="K5" s="2"/>
      <c r="L5" s="3"/>
      <c r="M5" s="27" t="s">
        <v>17</v>
      </c>
      <c r="N5" s="28">
        <v>8</v>
      </c>
      <c r="O5" s="2"/>
      <c r="P5" s="2"/>
      <c r="Q5" s="2"/>
      <c r="R5" s="3"/>
    </row>
    <row r="6" spans="1:18" x14ac:dyDescent="0.2">
      <c r="A6" s="1" t="s">
        <v>1</v>
      </c>
      <c r="B6" s="2">
        <v>200000</v>
      </c>
      <c r="C6" s="2"/>
      <c r="D6" s="2"/>
      <c r="E6" s="2"/>
      <c r="F6" s="3"/>
      <c r="G6" s="1" t="s">
        <v>1</v>
      </c>
      <c r="H6" s="2">
        <v>200000</v>
      </c>
      <c r="I6" s="2"/>
      <c r="J6" s="2"/>
      <c r="K6" s="2"/>
      <c r="L6" s="3"/>
      <c r="M6" s="1" t="s">
        <v>1</v>
      </c>
      <c r="N6" s="2">
        <v>200000</v>
      </c>
      <c r="O6" s="2"/>
      <c r="P6" s="2"/>
      <c r="Q6" s="2"/>
      <c r="R6" s="3"/>
    </row>
    <row r="7" spans="1:18" x14ac:dyDescent="0.2">
      <c r="A7" s="1" t="s">
        <v>14</v>
      </c>
      <c r="B7" s="2">
        <v>0</v>
      </c>
      <c r="C7" s="2"/>
      <c r="D7" s="2"/>
      <c r="E7" s="2"/>
      <c r="F7" s="3"/>
      <c r="G7" s="25" t="s">
        <v>18</v>
      </c>
      <c r="H7" s="26">
        <v>50000</v>
      </c>
      <c r="I7" s="2"/>
      <c r="J7" s="2"/>
      <c r="K7" s="2"/>
      <c r="L7" s="3"/>
      <c r="M7" s="1" t="s">
        <v>18</v>
      </c>
      <c r="N7" s="2">
        <v>0</v>
      </c>
      <c r="O7" s="2"/>
      <c r="P7" s="2"/>
      <c r="Q7" s="2"/>
      <c r="R7" s="3"/>
    </row>
    <row r="8" spans="1:18" x14ac:dyDescent="0.2">
      <c r="A8" s="1" t="s">
        <v>15</v>
      </c>
      <c r="B8" s="2">
        <v>0</v>
      </c>
      <c r="C8" s="2"/>
      <c r="D8" s="2"/>
      <c r="E8" s="2"/>
      <c r="F8" s="3"/>
      <c r="G8" s="25" t="s">
        <v>19</v>
      </c>
      <c r="H8" s="26">
        <f>H7/(1+H10)^H9</f>
        <v>40970.477152373111</v>
      </c>
      <c r="I8" s="2"/>
      <c r="J8" s="2"/>
      <c r="K8" s="2"/>
      <c r="L8" s="3"/>
      <c r="M8" s="1" t="s">
        <v>19</v>
      </c>
      <c r="N8" s="2">
        <v>0</v>
      </c>
      <c r="O8" s="2"/>
      <c r="P8" s="2"/>
      <c r="Q8" s="2"/>
      <c r="R8" s="3"/>
    </row>
    <row r="9" spans="1:18" x14ac:dyDescent="0.2">
      <c r="A9" s="1" t="s">
        <v>2</v>
      </c>
      <c r="B9" s="2">
        <f>B3*B4</f>
        <v>24</v>
      </c>
      <c r="C9" s="2"/>
      <c r="D9" s="2"/>
      <c r="E9" s="2"/>
      <c r="F9" s="3"/>
      <c r="G9" s="1" t="s">
        <v>2</v>
      </c>
      <c r="H9" s="2">
        <f>H3*H4</f>
        <v>24</v>
      </c>
      <c r="I9" s="2"/>
      <c r="J9" s="2"/>
      <c r="K9" s="2"/>
      <c r="L9" s="3"/>
      <c r="M9" s="1" t="s">
        <v>2</v>
      </c>
      <c r="N9" s="2">
        <f>N3*N4</f>
        <v>24</v>
      </c>
      <c r="O9" s="2"/>
      <c r="P9" s="2"/>
      <c r="Q9" s="2"/>
      <c r="R9" s="3"/>
    </row>
    <row r="10" spans="1:18" x14ac:dyDescent="0.2">
      <c r="A10" s="1" t="s">
        <v>3</v>
      </c>
      <c r="B10" s="2">
        <f>B2/B3</f>
        <v>8.3333333333333332E-3</v>
      </c>
      <c r="C10" s="2"/>
      <c r="D10" s="2"/>
      <c r="E10" s="2"/>
      <c r="F10" s="3"/>
      <c r="G10" s="1" t="s">
        <v>3</v>
      </c>
      <c r="H10" s="2">
        <f>H2/H3</f>
        <v>8.3333333333333332E-3</v>
      </c>
      <c r="I10" s="2"/>
      <c r="J10" s="2"/>
      <c r="K10" s="2"/>
      <c r="L10" s="3"/>
      <c r="M10" s="1" t="s">
        <v>3</v>
      </c>
      <c r="N10" s="2">
        <f>N2/N3</f>
        <v>8.3333333333333332E-3</v>
      </c>
      <c r="O10" s="2"/>
      <c r="P10" s="2"/>
      <c r="Q10" s="2"/>
      <c r="R10" s="3"/>
    </row>
    <row r="11" spans="1:18" x14ac:dyDescent="0.2">
      <c r="A11" s="1" t="s">
        <v>4</v>
      </c>
      <c r="B11" s="2">
        <f>B10*(1+B10)^B9/((1+B10)^B9-1)*B6</f>
        <v>9228.9852675033399</v>
      </c>
      <c r="C11" s="2"/>
      <c r="D11" s="2"/>
      <c r="E11" s="2"/>
      <c r="F11" s="3"/>
      <c r="G11" s="25" t="s">
        <v>4</v>
      </c>
      <c r="H11" s="26">
        <f>H10*(1+H10)^H9/((1+H10)^H9-1)*(H6-H8)</f>
        <v>7338.405617294171</v>
      </c>
      <c r="I11" s="2"/>
      <c r="J11" s="2"/>
      <c r="K11" s="2"/>
      <c r="L11" s="3"/>
      <c r="M11" s="27" t="s">
        <v>4</v>
      </c>
      <c r="N11" s="28">
        <f>N10*(1+N10)^(N9-N5)/((1+N10)^(N9-N5)-1)*N6</f>
        <v>13403.780995794732</v>
      </c>
      <c r="O11" s="2"/>
      <c r="P11" s="2"/>
      <c r="Q11" s="2"/>
      <c r="R11" s="3"/>
    </row>
    <row r="12" spans="1:18" x14ac:dyDescent="0.2">
      <c r="A12" s="1"/>
      <c r="B12" s="2"/>
      <c r="C12" s="2"/>
      <c r="D12" s="2"/>
      <c r="E12" s="2"/>
      <c r="F12" s="3"/>
      <c r="G12" s="1"/>
      <c r="H12" s="2"/>
      <c r="I12" s="2"/>
      <c r="J12" s="2"/>
      <c r="K12" s="2"/>
      <c r="L12" s="3"/>
      <c r="M12" s="1"/>
      <c r="N12" s="2"/>
      <c r="O12" s="2"/>
      <c r="P12" s="2"/>
      <c r="Q12" s="2"/>
      <c r="R12" s="3"/>
    </row>
    <row r="13" spans="1:18" x14ac:dyDescent="0.2">
      <c r="A13" s="18" t="s">
        <v>7</v>
      </c>
      <c r="B13" s="16" t="s">
        <v>8</v>
      </c>
      <c r="C13" s="16" t="s">
        <v>9</v>
      </c>
      <c r="D13" s="16" t="s">
        <v>10</v>
      </c>
      <c r="E13" s="16" t="s">
        <v>11</v>
      </c>
      <c r="F13" s="19" t="s">
        <v>12</v>
      </c>
      <c r="G13" s="18" t="s">
        <v>7</v>
      </c>
      <c r="H13" s="16" t="s">
        <v>8</v>
      </c>
      <c r="I13" s="16" t="s">
        <v>9</v>
      </c>
      <c r="J13" s="16" t="s">
        <v>10</v>
      </c>
      <c r="K13" s="16" t="s">
        <v>11</v>
      </c>
      <c r="L13" s="19" t="s">
        <v>12</v>
      </c>
      <c r="M13" s="18" t="s">
        <v>7</v>
      </c>
      <c r="N13" s="16" t="s">
        <v>8</v>
      </c>
      <c r="O13" s="16" t="s">
        <v>9</v>
      </c>
      <c r="P13" s="16" t="s">
        <v>10</v>
      </c>
      <c r="Q13" s="16" t="s">
        <v>11</v>
      </c>
      <c r="R13" s="19" t="s">
        <v>12</v>
      </c>
    </row>
    <row r="14" spans="1:18" x14ac:dyDescent="0.2">
      <c r="A14" s="20">
        <v>1</v>
      </c>
      <c r="B14" s="17">
        <f>B6</f>
        <v>200000</v>
      </c>
      <c r="C14" s="17">
        <f>$B$11</f>
        <v>9228.9852675033399</v>
      </c>
      <c r="D14" s="17">
        <f>$B$10*B14</f>
        <v>1666.6666666666667</v>
      </c>
      <c r="E14" s="17">
        <f>C14-D14</f>
        <v>7562.3186008366729</v>
      </c>
      <c r="F14" s="21">
        <f>B14-E14</f>
        <v>192437.68139916332</v>
      </c>
      <c r="G14" s="20">
        <v>1</v>
      </c>
      <c r="H14" s="17">
        <f>H6</f>
        <v>200000</v>
      </c>
      <c r="I14" s="17">
        <f>$H$11</f>
        <v>7338.405617294171</v>
      </c>
      <c r="J14" s="17">
        <f>$H$10*H14</f>
        <v>1666.6666666666667</v>
      </c>
      <c r="K14" s="17">
        <f>I14-J14</f>
        <v>5671.738950627504</v>
      </c>
      <c r="L14" s="21">
        <f>H14-K14</f>
        <v>194328.26104937249</v>
      </c>
      <c r="M14" s="20">
        <v>1</v>
      </c>
      <c r="N14" s="17">
        <f>N6</f>
        <v>200000</v>
      </c>
      <c r="O14" s="17">
        <f>$N$10*$N$6</f>
        <v>1666.6666666666667</v>
      </c>
      <c r="P14" s="17">
        <f>$B$10*N14</f>
        <v>1666.6666666666667</v>
      </c>
      <c r="Q14" s="17">
        <f>O14-P14</f>
        <v>0</v>
      </c>
      <c r="R14" s="21">
        <f>N14-Q14</f>
        <v>200000</v>
      </c>
    </row>
    <row r="15" spans="1:18" x14ac:dyDescent="0.2">
      <c r="A15" s="20">
        <f>A14+1</f>
        <v>2</v>
      </c>
      <c r="B15" s="17">
        <f>F14</f>
        <v>192437.68139916332</v>
      </c>
      <c r="C15" s="17">
        <f>$B$11</f>
        <v>9228.9852675033399</v>
      </c>
      <c r="D15" s="17">
        <f>$B$10*B15</f>
        <v>1603.6473449930277</v>
      </c>
      <c r="E15" s="17">
        <f>C15-D15</f>
        <v>7625.3379225103126</v>
      </c>
      <c r="F15" s="21">
        <f>B15-E15</f>
        <v>184812.34347665301</v>
      </c>
      <c r="G15" s="20">
        <f>G14+1</f>
        <v>2</v>
      </c>
      <c r="H15" s="17">
        <f>L14</f>
        <v>194328.26104937249</v>
      </c>
      <c r="I15" s="17">
        <f t="shared" ref="I15:I37" si="0">$H$11</f>
        <v>7338.405617294171</v>
      </c>
      <c r="J15" s="17">
        <f t="shared" ref="J15:J37" si="1">$H$10*H15</f>
        <v>1619.4021754114374</v>
      </c>
      <c r="K15" s="17">
        <f>I15-J15</f>
        <v>5719.0034418827336</v>
      </c>
      <c r="L15" s="21">
        <f>H15-K15</f>
        <v>188609.25760748977</v>
      </c>
      <c r="M15" s="20">
        <f>M14+1</f>
        <v>2</v>
      </c>
      <c r="N15" s="17">
        <f>R14</f>
        <v>200000</v>
      </c>
      <c r="O15" s="17">
        <f t="shared" ref="O15:O21" si="2">$N$10*$N$6</f>
        <v>1666.6666666666667</v>
      </c>
      <c r="P15" s="17">
        <f>$B$10*N15</f>
        <v>1666.6666666666667</v>
      </c>
      <c r="Q15" s="17">
        <f>O15-P15</f>
        <v>0</v>
      </c>
      <c r="R15" s="21">
        <f>N15-Q15</f>
        <v>200000</v>
      </c>
    </row>
    <row r="16" spans="1:18" x14ac:dyDescent="0.2">
      <c r="A16" s="20">
        <f t="shared" ref="A16:A37" si="3">A15+1</f>
        <v>3</v>
      </c>
      <c r="B16" s="17">
        <f t="shared" ref="B16:B20" si="4">F15</f>
        <v>184812.34347665301</v>
      </c>
      <c r="C16" s="17">
        <f t="shared" ref="C16:C37" si="5">$B$11</f>
        <v>9228.9852675033399</v>
      </c>
      <c r="D16" s="17">
        <f t="shared" ref="D16:D20" si="6">$B$10*B16</f>
        <v>1540.1028623054417</v>
      </c>
      <c r="E16" s="17">
        <f t="shared" ref="E16:E20" si="7">C16-D16</f>
        <v>7688.8824051978982</v>
      </c>
      <c r="F16" s="21">
        <f t="shared" ref="F16:F20" si="8">B16-E16</f>
        <v>177123.46107145512</v>
      </c>
      <c r="G16" s="20">
        <f t="shared" ref="G16:G37" si="9">G15+1</f>
        <v>3</v>
      </c>
      <c r="H16" s="17">
        <f t="shared" ref="H16:H37" si="10">L15</f>
        <v>188609.25760748977</v>
      </c>
      <c r="I16" s="17">
        <f t="shared" si="0"/>
        <v>7338.405617294171</v>
      </c>
      <c r="J16" s="17">
        <f t="shared" si="1"/>
        <v>1571.743813395748</v>
      </c>
      <c r="K16" s="17">
        <f t="shared" ref="K16:K37" si="11">I16-J16</f>
        <v>5766.6618038984234</v>
      </c>
      <c r="L16" s="21">
        <f t="shared" ref="L16:L37" si="12">H16-K16</f>
        <v>182842.59580359134</v>
      </c>
      <c r="M16" s="20">
        <f t="shared" ref="M16:M37" si="13">M15+1</f>
        <v>3</v>
      </c>
      <c r="N16" s="17">
        <f t="shared" ref="N16:N37" si="14">R15</f>
        <v>200000</v>
      </c>
      <c r="O16" s="17">
        <f t="shared" si="2"/>
        <v>1666.6666666666667</v>
      </c>
      <c r="P16" s="17">
        <f t="shared" ref="P16:P37" si="15">$B$10*N16</f>
        <v>1666.6666666666667</v>
      </c>
      <c r="Q16" s="17">
        <f t="shared" ref="Q16:Q37" si="16">O16-P16</f>
        <v>0</v>
      </c>
      <c r="R16" s="21">
        <f t="shared" ref="R16:R37" si="17">N16-Q16</f>
        <v>200000</v>
      </c>
    </row>
    <row r="17" spans="1:18" x14ac:dyDescent="0.2">
      <c r="A17" s="20">
        <f t="shared" si="3"/>
        <v>4</v>
      </c>
      <c r="B17" s="17">
        <f t="shared" si="4"/>
        <v>177123.46107145512</v>
      </c>
      <c r="C17" s="17">
        <f t="shared" si="5"/>
        <v>9228.9852675033399</v>
      </c>
      <c r="D17" s="17">
        <f t="shared" si="6"/>
        <v>1476.0288422621261</v>
      </c>
      <c r="E17" s="17">
        <f t="shared" si="7"/>
        <v>7752.9564252412138</v>
      </c>
      <c r="F17" s="21">
        <f t="shared" si="8"/>
        <v>169370.5046462139</v>
      </c>
      <c r="G17" s="20">
        <f t="shared" si="9"/>
        <v>4</v>
      </c>
      <c r="H17" s="17">
        <f t="shared" si="10"/>
        <v>182842.59580359134</v>
      </c>
      <c r="I17" s="17">
        <f t="shared" si="0"/>
        <v>7338.405617294171</v>
      </c>
      <c r="J17" s="17">
        <f t="shared" si="1"/>
        <v>1523.6882983632611</v>
      </c>
      <c r="K17" s="17">
        <f t="shared" si="11"/>
        <v>5814.7173189309096</v>
      </c>
      <c r="L17" s="21">
        <f t="shared" si="12"/>
        <v>177027.87848466044</v>
      </c>
      <c r="M17" s="20">
        <f t="shared" si="13"/>
        <v>4</v>
      </c>
      <c r="N17" s="17">
        <f t="shared" si="14"/>
        <v>200000</v>
      </c>
      <c r="O17" s="17">
        <f t="shared" si="2"/>
        <v>1666.6666666666667</v>
      </c>
      <c r="P17" s="17">
        <f t="shared" si="15"/>
        <v>1666.6666666666667</v>
      </c>
      <c r="Q17" s="17">
        <f t="shared" si="16"/>
        <v>0</v>
      </c>
      <c r="R17" s="21">
        <f t="shared" si="17"/>
        <v>200000</v>
      </c>
    </row>
    <row r="18" spans="1:18" x14ac:dyDescent="0.2">
      <c r="A18" s="20">
        <f t="shared" si="3"/>
        <v>5</v>
      </c>
      <c r="B18" s="17">
        <f t="shared" si="4"/>
        <v>169370.5046462139</v>
      </c>
      <c r="C18" s="17">
        <f t="shared" si="5"/>
        <v>9228.9852675033399</v>
      </c>
      <c r="D18" s="17">
        <f t="shared" si="6"/>
        <v>1411.4208720517825</v>
      </c>
      <c r="E18" s="17">
        <f t="shared" si="7"/>
        <v>7817.5643954515572</v>
      </c>
      <c r="F18" s="21">
        <f t="shared" si="8"/>
        <v>161552.94025076233</v>
      </c>
      <c r="G18" s="20">
        <f t="shared" si="9"/>
        <v>5</v>
      </c>
      <c r="H18" s="17">
        <f t="shared" si="10"/>
        <v>177027.87848466044</v>
      </c>
      <c r="I18" s="17">
        <f t="shared" si="0"/>
        <v>7338.405617294171</v>
      </c>
      <c r="J18" s="17">
        <f t="shared" si="1"/>
        <v>1475.2323207055038</v>
      </c>
      <c r="K18" s="17">
        <f t="shared" si="11"/>
        <v>5863.1732965886677</v>
      </c>
      <c r="L18" s="21">
        <f t="shared" si="12"/>
        <v>171164.70518807176</v>
      </c>
      <c r="M18" s="20">
        <f t="shared" si="13"/>
        <v>5</v>
      </c>
      <c r="N18" s="17">
        <f t="shared" si="14"/>
        <v>200000</v>
      </c>
      <c r="O18" s="17">
        <f t="shared" si="2"/>
        <v>1666.6666666666667</v>
      </c>
      <c r="P18" s="17">
        <f t="shared" si="15"/>
        <v>1666.6666666666667</v>
      </c>
      <c r="Q18" s="17">
        <f t="shared" si="16"/>
        <v>0</v>
      </c>
      <c r="R18" s="21">
        <f t="shared" si="17"/>
        <v>200000</v>
      </c>
    </row>
    <row r="19" spans="1:18" x14ac:dyDescent="0.2">
      <c r="A19" s="20">
        <f t="shared" si="3"/>
        <v>6</v>
      </c>
      <c r="B19" s="17">
        <f t="shared" si="4"/>
        <v>161552.94025076233</v>
      </c>
      <c r="C19" s="17">
        <f t="shared" si="5"/>
        <v>9228.9852675033399</v>
      </c>
      <c r="D19" s="17">
        <f t="shared" si="6"/>
        <v>1346.2745020896862</v>
      </c>
      <c r="E19" s="17">
        <f t="shared" si="7"/>
        <v>7882.7107654136535</v>
      </c>
      <c r="F19" s="21">
        <f t="shared" si="8"/>
        <v>153670.22948534868</v>
      </c>
      <c r="G19" s="20">
        <f t="shared" si="9"/>
        <v>6</v>
      </c>
      <c r="H19" s="17">
        <f t="shared" si="10"/>
        <v>171164.70518807176</v>
      </c>
      <c r="I19" s="17">
        <f t="shared" si="0"/>
        <v>7338.405617294171</v>
      </c>
      <c r="J19" s="17">
        <f t="shared" si="1"/>
        <v>1426.3725432339313</v>
      </c>
      <c r="K19" s="17">
        <f t="shared" si="11"/>
        <v>5912.0330740602394</v>
      </c>
      <c r="L19" s="21">
        <f t="shared" si="12"/>
        <v>165252.67211401151</v>
      </c>
      <c r="M19" s="20">
        <f t="shared" si="13"/>
        <v>6</v>
      </c>
      <c r="N19" s="17">
        <f t="shared" si="14"/>
        <v>200000</v>
      </c>
      <c r="O19" s="17">
        <f t="shared" si="2"/>
        <v>1666.6666666666667</v>
      </c>
      <c r="P19" s="17">
        <f t="shared" si="15"/>
        <v>1666.6666666666667</v>
      </c>
      <c r="Q19" s="17">
        <f t="shared" si="16"/>
        <v>0</v>
      </c>
      <c r="R19" s="21">
        <f t="shared" si="17"/>
        <v>200000</v>
      </c>
    </row>
    <row r="20" spans="1:18" x14ac:dyDescent="0.2">
      <c r="A20" s="20">
        <f t="shared" si="3"/>
        <v>7</v>
      </c>
      <c r="B20" s="17">
        <f t="shared" si="4"/>
        <v>153670.22948534868</v>
      </c>
      <c r="C20" s="17">
        <f t="shared" si="5"/>
        <v>9228.9852675033399</v>
      </c>
      <c r="D20" s="17">
        <f t="shared" si="6"/>
        <v>1280.5852457112389</v>
      </c>
      <c r="E20" s="17">
        <f t="shared" si="7"/>
        <v>7948.4000217921011</v>
      </c>
      <c r="F20" s="21">
        <f t="shared" si="8"/>
        <v>145721.82946355658</v>
      </c>
      <c r="G20" s="20">
        <f t="shared" si="9"/>
        <v>7</v>
      </c>
      <c r="H20" s="17">
        <f t="shared" si="10"/>
        <v>165252.67211401151</v>
      </c>
      <c r="I20" s="17">
        <f t="shared" si="0"/>
        <v>7338.405617294171</v>
      </c>
      <c r="J20" s="17">
        <f t="shared" si="1"/>
        <v>1377.105600950096</v>
      </c>
      <c r="K20" s="17">
        <f t="shared" si="11"/>
        <v>5961.3000163440747</v>
      </c>
      <c r="L20" s="21">
        <f t="shared" si="12"/>
        <v>159291.37209766742</v>
      </c>
      <c r="M20" s="20">
        <f t="shared" si="13"/>
        <v>7</v>
      </c>
      <c r="N20" s="17">
        <f t="shared" si="14"/>
        <v>200000</v>
      </c>
      <c r="O20" s="17">
        <f t="shared" si="2"/>
        <v>1666.6666666666667</v>
      </c>
      <c r="P20" s="17">
        <f t="shared" si="15"/>
        <v>1666.6666666666667</v>
      </c>
      <c r="Q20" s="17">
        <f t="shared" si="16"/>
        <v>0</v>
      </c>
      <c r="R20" s="21">
        <f t="shared" si="17"/>
        <v>200000</v>
      </c>
    </row>
    <row r="21" spans="1:18" x14ac:dyDescent="0.2">
      <c r="A21" s="20">
        <f t="shared" si="3"/>
        <v>8</v>
      </c>
      <c r="B21" s="17">
        <f t="shared" ref="B21:B37" si="18">F20</f>
        <v>145721.82946355658</v>
      </c>
      <c r="C21" s="17">
        <f t="shared" si="5"/>
        <v>9228.9852675033399</v>
      </c>
      <c r="D21" s="17">
        <f t="shared" ref="D21:D37" si="19">$B$10*B21</f>
        <v>1214.3485788629714</v>
      </c>
      <c r="E21" s="17">
        <f t="shared" ref="E21:E37" si="20">C21-D21</f>
        <v>8014.6366886403684</v>
      </c>
      <c r="F21" s="21">
        <f t="shared" ref="F21:F37" si="21">B21-E21</f>
        <v>137707.19277491621</v>
      </c>
      <c r="G21" s="20">
        <f t="shared" si="9"/>
        <v>8</v>
      </c>
      <c r="H21" s="17">
        <f t="shared" si="10"/>
        <v>159291.37209766742</v>
      </c>
      <c r="I21" s="17">
        <f t="shared" si="0"/>
        <v>7338.405617294171</v>
      </c>
      <c r="J21" s="17">
        <f t="shared" si="1"/>
        <v>1327.4281008138951</v>
      </c>
      <c r="K21" s="17">
        <f t="shared" si="11"/>
        <v>6010.9775164802759</v>
      </c>
      <c r="L21" s="21">
        <f t="shared" si="12"/>
        <v>153280.39458118714</v>
      </c>
      <c r="M21" s="20">
        <f t="shared" si="13"/>
        <v>8</v>
      </c>
      <c r="N21" s="17">
        <f t="shared" si="14"/>
        <v>200000</v>
      </c>
      <c r="O21" s="17">
        <f t="shared" si="2"/>
        <v>1666.6666666666667</v>
      </c>
      <c r="P21" s="17">
        <f t="shared" si="15"/>
        <v>1666.6666666666667</v>
      </c>
      <c r="Q21" s="17">
        <f t="shared" si="16"/>
        <v>0</v>
      </c>
      <c r="R21" s="21">
        <f t="shared" si="17"/>
        <v>200000</v>
      </c>
    </row>
    <row r="22" spans="1:18" x14ac:dyDescent="0.2">
      <c r="A22" s="20">
        <f t="shared" si="3"/>
        <v>9</v>
      </c>
      <c r="B22" s="17">
        <f t="shared" si="18"/>
        <v>137707.19277491621</v>
      </c>
      <c r="C22" s="17">
        <f t="shared" si="5"/>
        <v>9228.9852675033399</v>
      </c>
      <c r="D22" s="17">
        <f t="shared" si="19"/>
        <v>1147.5599397909684</v>
      </c>
      <c r="E22" s="17">
        <f t="shared" si="20"/>
        <v>8081.4253277123717</v>
      </c>
      <c r="F22" s="21">
        <f t="shared" si="21"/>
        <v>129625.76744720383</v>
      </c>
      <c r="G22" s="20">
        <f t="shared" si="9"/>
        <v>9</v>
      </c>
      <c r="H22" s="17">
        <f t="shared" si="10"/>
        <v>153280.39458118714</v>
      </c>
      <c r="I22" s="17">
        <f t="shared" si="0"/>
        <v>7338.405617294171</v>
      </c>
      <c r="J22" s="17">
        <f t="shared" si="1"/>
        <v>1277.3366215098929</v>
      </c>
      <c r="K22" s="17">
        <f t="shared" si="11"/>
        <v>6061.0689957842778</v>
      </c>
      <c r="L22" s="21">
        <f t="shared" si="12"/>
        <v>147219.32558540287</v>
      </c>
      <c r="M22" s="20">
        <f t="shared" si="13"/>
        <v>9</v>
      </c>
      <c r="N22" s="17">
        <f t="shared" si="14"/>
        <v>200000</v>
      </c>
      <c r="O22" s="17">
        <f>$N$11</f>
        <v>13403.780995794732</v>
      </c>
      <c r="P22" s="17">
        <f t="shared" si="15"/>
        <v>1666.6666666666667</v>
      </c>
      <c r="Q22" s="17">
        <f t="shared" si="16"/>
        <v>11737.114329128066</v>
      </c>
      <c r="R22" s="21">
        <f t="shared" si="17"/>
        <v>188262.88567087194</v>
      </c>
    </row>
    <row r="23" spans="1:18" x14ac:dyDescent="0.2">
      <c r="A23" s="20">
        <f t="shared" si="3"/>
        <v>10</v>
      </c>
      <c r="B23" s="17">
        <f t="shared" si="18"/>
        <v>129625.76744720383</v>
      </c>
      <c r="C23" s="17">
        <f t="shared" si="5"/>
        <v>9228.9852675033399</v>
      </c>
      <c r="D23" s="17">
        <f t="shared" si="19"/>
        <v>1080.2147287266987</v>
      </c>
      <c r="E23" s="17">
        <f t="shared" si="20"/>
        <v>8148.7705387766409</v>
      </c>
      <c r="F23" s="21">
        <f t="shared" si="21"/>
        <v>121476.99690842719</v>
      </c>
      <c r="G23" s="20">
        <f t="shared" si="9"/>
        <v>10</v>
      </c>
      <c r="H23" s="17">
        <f t="shared" si="10"/>
        <v>147219.32558540287</v>
      </c>
      <c r="I23" s="17">
        <f t="shared" si="0"/>
        <v>7338.405617294171</v>
      </c>
      <c r="J23" s="17">
        <f t="shared" si="1"/>
        <v>1226.8277132116905</v>
      </c>
      <c r="K23" s="17">
        <f t="shared" si="11"/>
        <v>6111.57790408248</v>
      </c>
      <c r="L23" s="21">
        <f t="shared" si="12"/>
        <v>141107.74768132038</v>
      </c>
      <c r="M23" s="20">
        <f t="shared" si="13"/>
        <v>10</v>
      </c>
      <c r="N23" s="17">
        <f t="shared" si="14"/>
        <v>188262.88567087194</v>
      </c>
      <c r="O23" s="17">
        <f t="shared" ref="O23:O37" si="22">$N$11</f>
        <v>13403.780995794732</v>
      </c>
      <c r="P23" s="17">
        <f t="shared" si="15"/>
        <v>1568.8573805905994</v>
      </c>
      <c r="Q23" s="17">
        <f t="shared" si="16"/>
        <v>11834.923615204132</v>
      </c>
      <c r="R23" s="21">
        <f t="shared" si="17"/>
        <v>176427.9620556678</v>
      </c>
    </row>
    <row r="24" spans="1:18" x14ac:dyDescent="0.2">
      <c r="A24" s="20">
        <f t="shared" si="3"/>
        <v>11</v>
      </c>
      <c r="B24" s="17">
        <f t="shared" si="18"/>
        <v>121476.99690842719</v>
      </c>
      <c r="C24" s="17">
        <f t="shared" si="5"/>
        <v>9228.9852675033399</v>
      </c>
      <c r="D24" s="17">
        <f t="shared" si="19"/>
        <v>1012.3083075702266</v>
      </c>
      <c r="E24" s="17">
        <f t="shared" si="20"/>
        <v>8216.6769599331128</v>
      </c>
      <c r="F24" s="21">
        <f t="shared" si="21"/>
        <v>113260.31994849407</v>
      </c>
      <c r="G24" s="20">
        <f t="shared" si="9"/>
        <v>11</v>
      </c>
      <c r="H24" s="17">
        <f t="shared" si="10"/>
        <v>141107.74768132038</v>
      </c>
      <c r="I24" s="17">
        <f t="shared" si="0"/>
        <v>7338.405617294171</v>
      </c>
      <c r="J24" s="17">
        <f t="shared" si="1"/>
        <v>1175.8978973443366</v>
      </c>
      <c r="K24" s="17">
        <f t="shared" si="11"/>
        <v>6162.5077199498346</v>
      </c>
      <c r="L24" s="21">
        <f t="shared" si="12"/>
        <v>134945.23996137053</v>
      </c>
      <c r="M24" s="20">
        <f t="shared" si="13"/>
        <v>11</v>
      </c>
      <c r="N24" s="17">
        <f t="shared" si="14"/>
        <v>176427.9620556678</v>
      </c>
      <c r="O24" s="17">
        <f t="shared" si="22"/>
        <v>13403.780995794732</v>
      </c>
      <c r="P24" s="17">
        <f t="shared" si="15"/>
        <v>1470.233017130565</v>
      </c>
      <c r="Q24" s="17">
        <f t="shared" si="16"/>
        <v>11933.547978664166</v>
      </c>
      <c r="R24" s="21">
        <f t="shared" si="17"/>
        <v>164494.41407700363</v>
      </c>
    </row>
    <row r="25" spans="1:18" x14ac:dyDescent="0.2">
      <c r="A25" s="20">
        <f t="shared" si="3"/>
        <v>12</v>
      </c>
      <c r="B25" s="17">
        <f t="shared" si="18"/>
        <v>113260.31994849407</v>
      </c>
      <c r="C25" s="17">
        <f t="shared" si="5"/>
        <v>9228.9852675033399</v>
      </c>
      <c r="D25" s="17">
        <f t="shared" si="19"/>
        <v>943.83599957078388</v>
      </c>
      <c r="E25" s="17">
        <f t="shared" si="20"/>
        <v>8285.1492679325565</v>
      </c>
      <c r="F25" s="21">
        <f t="shared" si="21"/>
        <v>104975.17068056151</v>
      </c>
      <c r="G25" s="20">
        <f t="shared" si="9"/>
        <v>12</v>
      </c>
      <c r="H25" s="17">
        <f t="shared" si="10"/>
        <v>134945.23996137053</v>
      </c>
      <c r="I25" s="17">
        <f t="shared" si="0"/>
        <v>7338.405617294171</v>
      </c>
      <c r="J25" s="17">
        <f t="shared" si="1"/>
        <v>1124.5436663447545</v>
      </c>
      <c r="K25" s="17">
        <f t="shared" si="11"/>
        <v>6213.8619509494165</v>
      </c>
      <c r="L25" s="21">
        <f t="shared" si="12"/>
        <v>128731.37801042112</v>
      </c>
      <c r="M25" s="20">
        <f t="shared" si="13"/>
        <v>12</v>
      </c>
      <c r="N25" s="17">
        <f t="shared" si="14"/>
        <v>164494.41407700363</v>
      </c>
      <c r="O25" s="17">
        <f t="shared" si="22"/>
        <v>13403.780995794732</v>
      </c>
      <c r="P25" s="17">
        <f t="shared" si="15"/>
        <v>1370.7867839750302</v>
      </c>
      <c r="Q25" s="17">
        <f t="shared" si="16"/>
        <v>12032.994211819701</v>
      </c>
      <c r="R25" s="21">
        <f t="shared" si="17"/>
        <v>152461.41986518394</v>
      </c>
    </row>
    <row r="26" spans="1:18" x14ac:dyDescent="0.2">
      <c r="A26" s="20">
        <f t="shared" si="3"/>
        <v>13</v>
      </c>
      <c r="B26" s="17">
        <f t="shared" si="18"/>
        <v>104975.17068056151</v>
      </c>
      <c r="C26" s="17">
        <f t="shared" si="5"/>
        <v>9228.9852675033399</v>
      </c>
      <c r="D26" s="17">
        <f t="shared" si="19"/>
        <v>874.79308900467925</v>
      </c>
      <c r="E26" s="17">
        <f t="shared" si="20"/>
        <v>8354.1921784986607</v>
      </c>
      <c r="F26" s="21">
        <f t="shared" si="21"/>
        <v>96620.978502062848</v>
      </c>
      <c r="G26" s="20">
        <f t="shared" si="9"/>
        <v>13</v>
      </c>
      <c r="H26" s="17">
        <f t="shared" si="10"/>
        <v>128731.37801042112</v>
      </c>
      <c r="I26" s="17">
        <f t="shared" si="0"/>
        <v>7338.405617294171</v>
      </c>
      <c r="J26" s="17">
        <f t="shared" si="1"/>
        <v>1072.7614834201759</v>
      </c>
      <c r="K26" s="17">
        <f t="shared" si="11"/>
        <v>6265.6441338739951</v>
      </c>
      <c r="L26" s="21">
        <f t="shared" si="12"/>
        <v>122465.73387654712</v>
      </c>
      <c r="M26" s="20">
        <f t="shared" si="13"/>
        <v>13</v>
      </c>
      <c r="N26" s="17">
        <f t="shared" si="14"/>
        <v>152461.41986518394</v>
      </c>
      <c r="O26" s="17">
        <f t="shared" si="22"/>
        <v>13403.780995794732</v>
      </c>
      <c r="P26" s="17">
        <f t="shared" si="15"/>
        <v>1270.511832209866</v>
      </c>
      <c r="Q26" s="17">
        <f t="shared" si="16"/>
        <v>12133.269163584866</v>
      </c>
      <c r="R26" s="21">
        <f t="shared" si="17"/>
        <v>140328.15070159908</v>
      </c>
    </row>
    <row r="27" spans="1:18" x14ac:dyDescent="0.2">
      <c r="A27" s="20">
        <f t="shared" si="3"/>
        <v>14</v>
      </c>
      <c r="B27" s="17">
        <f t="shared" si="18"/>
        <v>96620.978502062848</v>
      </c>
      <c r="C27" s="17">
        <f t="shared" si="5"/>
        <v>9228.9852675033399</v>
      </c>
      <c r="D27" s="17">
        <f t="shared" si="19"/>
        <v>805.1748208505237</v>
      </c>
      <c r="E27" s="17">
        <f t="shared" si="20"/>
        <v>8423.8104466528166</v>
      </c>
      <c r="F27" s="21">
        <f t="shared" si="21"/>
        <v>88197.168055410031</v>
      </c>
      <c r="G27" s="20">
        <f t="shared" si="9"/>
        <v>14</v>
      </c>
      <c r="H27" s="17">
        <f t="shared" si="10"/>
        <v>122465.73387654712</v>
      </c>
      <c r="I27" s="17">
        <f t="shared" si="0"/>
        <v>7338.405617294171</v>
      </c>
      <c r="J27" s="17">
        <f t="shared" si="1"/>
        <v>1020.5477823045593</v>
      </c>
      <c r="K27" s="17">
        <f t="shared" si="11"/>
        <v>6317.8578349896115</v>
      </c>
      <c r="L27" s="21">
        <f t="shared" si="12"/>
        <v>116147.87604155751</v>
      </c>
      <c r="M27" s="20">
        <f t="shared" si="13"/>
        <v>14</v>
      </c>
      <c r="N27" s="17">
        <f t="shared" si="14"/>
        <v>140328.15070159908</v>
      </c>
      <c r="O27" s="17">
        <f t="shared" si="22"/>
        <v>13403.780995794732</v>
      </c>
      <c r="P27" s="17">
        <f t="shared" si="15"/>
        <v>1169.4012558466591</v>
      </c>
      <c r="Q27" s="17">
        <f t="shared" si="16"/>
        <v>12234.379739948074</v>
      </c>
      <c r="R27" s="21">
        <f t="shared" si="17"/>
        <v>128093.77096165101</v>
      </c>
    </row>
    <row r="28" spans="1:18" x14ac:dyDescent="0.2">
      <c r="A28" s="20">
        <f t="shared" si="3"/>
        <v>15</v>
      </c>
      <c r="B28" s="17">
        <f t="shared" si="18"/>
        <v>88197.168055410031</v>
      </c>
      <c r="C28" s="17">
        <f t="shared" si="5"/>
        <v>9228.9852675033399</v>
      </c>
      <c r="D28" s="17">
        <f t="shared" si="19"/>
        <v>734.97640046175025</v>
      </c>
      <c r="E28" s="17">
        <f t="shared" si="20"/>
        <v>8494.0088670415898</v>
      </c>
      <c r="F28" s="21">
        <f t="shared" si="21"/>
        <v>79703.159188368445</v>
      </c>
      <c r="G28" s="20">
        <f t="shared" si="9"/>
        <v>15</v>
      </c>
      <c r="H28" s="17">
        <f t="shared" si="10"/>
        <v>116147.87604155751</v>
      </c>
      <c r="I28" s="17">
        <f t="shared" si="0"/>
        <v>7338.405617294171</v>
      </c>
      <c r="J28" s="17">
        <f t="shared" si="1"/>
        <v>967.89896701297926</v>
      </c>
      <c r="K28" s="17">
        <f t="shared" si="11"/>
        <v>6370.5066502811915</v>
      </c>
      <c r="L28" s="21">
        <f t="shared" si="12"/>
        <v>109777.36939127631</v>
      </c>
      <c r="M28" s="20">
        <f t="shared" si="13"/>
        <v>15</v>
      </c>
      <c r="N28" s="17">
        <f t="shared" si="14"/>
        <v>128093.77096165101</v>
      </c>
      <c r="O28" s="17">
        <f t="shared" si="22"/>
        <v>13403.780995794732</v>
      </c>
      <c r="P28" s="17">
        <f t="shared" si="15"/>
        <v>1067.4480913470918</v>
      </c>
      <c r="Q28" s="17">
        <f t="shared" si="16"/>
        <v>12336.33290444764</v>
      </c>
      <c r="R28" s="21">
        <f t="shared" si="17"/>
        <v>115757.43805720337</v>
      </c>
    </row>
    <row r="29" spans="1:18" x14ac:dyDescent="0.2">
      <c r="A29" s="20">
        <f t="shared" si="3"/>
        <v>16</v>
      </c>
      <c r="B29" s="17">
        <f t="shared" si="18"/>
        <v>79703.159188368445</v>
      </c>
      <c r="C29" s="17">
        <f t="shared" si="5"/>
        <v>9228.9852675033399</v>
      </c>
      <c r="D29" s="17">
        <f t="shared" si="19"/>
        <v>664.19299323640371</v>
      </c>
      <c r="E29" s="17">
        <f t="shared" si="20"/>
        <v>8564.7922742669361</v>
      </c>
      <c r="F29" s="21">
        <f t="shared" si="21"/>
        <v>71138.366914101513</v>
      </c>
      <c r="G29" s="20">
        <f t="shared" si="9"/>
        <v>16</v>
      </c>
      <c r="H29" s="17">
        <f t="shared" si="10"/>
        <v>109777.36939127631</v>
      </c>
      <c r="I29" s="17">
        <f t="shared" si="0"/>
        <v>7338.405617294171</v>
      </c>
      <c r="J29" s="17">
        <f t="shared" si="1"/>
        <v>914.8114115939693</v>
      </c>
      <c r="K29" s="17">
        <f t="shared" si="11"/>
        <v>6423.5942057002012</v>
      </c>
      <c r="L29" s="21">
        <f t="shared" si="12"/>
        <v>103353.77518557612</v>
      </c>
      <c r="M29" s="20">
        <f t="shared" si="13"/>
        <v>16</v>
      </c>
      <c r="N29" s="17">
        <f t="shared" si="14"/>
        <v>115757.43805720337</v>
      </c>
      <c r="O29" s="17">
        <f t="shared" si="22"/>
        <v>13403.780995794732</v>
      </c>
      <c r="P29" s="17">
        <f t="shared" si="15"/>
        <v>964.64531714336135</v>
      </c>
      <c r="Q29" s="17">
        <f t="shared" si="16"/>
        <v>12439.135678651372</v>
      </c>
      <c r="R29" s="21">
        <f t="shared" si="17"/>
        <v>103318.30237855201</v>
      </c>
    </row>
    <row r="30" spans="1:18" x14ac:dyDescent="0.2">
      <c r="A30" s="20">
        <f t="shared" si="3"/>
        <v>17</v>
      </c>
      <c r="B30" s="17">
        <f t="shared" si="18"/>
        <v>71138.366914101513</v>
      </c>
      <c r="C30" s="17">
        <f t="shared" si="5"/>
        <v>9228.9852675033399</v>
      </c>
      <c r="D30" s="17">
        <f t="shared" si="19"/>
        <v>592.8197242841793</v>
      </c>
      <c r="E30" s="17">
        <f t="shared" si="20"/>
        <v>8636.1655432191601</v>
      </c>
      <c r="F30" s="21">
        <f t="shared" si="21"/>
        <v>62502.201370882351</v>
      </c>
      <c r="G30" s="20">
        <f t="shared" si="9"/>
        <v>17</v>
      </c>
      <c r="H30" s="17">
        <f t="shared" si="10"/>
        <v>103353.77518557612</v>
      </c>
      <c r="I30" s="17">
        <f t="shared" si="0"/>
        <v>7338.405617294171</v>
      </c>
      <c r="J30" s="17">
        <f t="shared" si="1"/>
        <v>861.28145987980099</v>
      </c>
      <c r="K30" s="17">
        <f t="shared" si="11"/>
        <v>6477.1241574143696</v>
      </c>
      <c r="L30" s="21">
        <f t="shared" si="12"/>
        <v>96876.651028161752</v>
      </c>
      <c r="M30" s="20">
        <f t="shared" si="13"/>
        <v>17</v>
      </c>
      <c r="N30" s="17">
        <f t="shared" si="14"/>
        <v>103318.30237855201</v>
      </c>
      <c r="O30" s="17">
        <f t="shared" si="22"/>
        <v>13403.780995794732</v>
      </c>
      <c r="P30" s="17">
        <f t="shared" si="15"/>
        <v>860.98585315460002</v>
      </c>
      <c r="Q30" s="17">
        <f t="shared" si="16"/>
        <v>12542.795142640132</v>
      </c>
      <c r="R30" s="21">
        <f t="shared" si="17"/>
        <v>90775.507235911879</v>
      </c>
    </row>
    <row r="31" spans="1:18" x14ac:dyDescent="0.2">
      <c r="A31" s="20">
        <f t="shared" si="3"/>
        <v>18</v>
      </c>
      <c r="B31" s="17">
        <f t="shared" si="18"/>
        <v>62502.201370882351</v>
      </c>
      <c r="C31" s="17">
        <f t="shared" si="5"/>
        <v>9228.9852675033399</v>
      </c>
      <c r="D31" s="17">
        <f t="shared" si="19"/>
        <v>520.85167809068628</v>
      </c>
      <c r="E31" s="17">
        <f t="shared" si="20"/>
        <v>8708.1335894126532</v>
      </c>
      <c r="F31" s="21">
        <f t="shared" si="21"/>
        <v>53794.067781469697</v>
      </c>
      <c r="G31" s="20">
        <f t="shared" si="9"/>
        <v>18</v>
      </c>
      <c r="H31" s="17">
        <f t="shared" si="10"/>
        <v>96876.651028161752</v>
      </c>
      <c r="I31" s="17">
        <f t="shared" si="0"/>
        <v>7338.405617294171</v>
      </c>
      <c r="J31" s="17">
        <f t="shared" si="1"/>
        <v>807.30542523468125</v>
      </c>
      <c r="K31" s="17">
        <f t="shared" si="11"/>
        <v>6531.1001920594899</v>
      </c>
      <c r="L31" s="21">
        <f t="shared" si="12"/>
        <v>90345.550836102266</v>
      </c>
      <c r="M31" s="20">
        <f t="shared" si="13"/>
        <v>18</v>
      </c>
      <c r="N31" s="17">
        <f t="shared" si="14"/>
        <v>90775.507235911879</v>
      </c>
      <c r="O31" s="17">
        <f t="shared" si="22"/>
        <v>13403.780995794732</v>
      </c>
      <c r="P31" s="17">
        <f t="shared" si="15"/>
        <v>756.46256029926565</v>
      </c>
      <c r="Q31" s="17">
        <f t="shared" si="16"/>
        <v>12647.318435495466</v>
      </c>
      <c r="R31" s="21">
        <f t="shared" si="17"/>
        <v>78128.188800416407</v>
      </c>
    </row>
    <row r="32" spans="1:18" x14ac:dyDescent="0.2">
      <c r="A32" s="20">
        <f t="shared" si="3"/>
        <v>19</v>
      </c>
      <c r="B32" s="17">
        <f t="shared" si="18"/>
        <v>53794.067781469697</v>
      </c>
      <c r="C32" s="17">
        <f t="shared" si="5"/>
        <v>9228.9852675033399</v>
      </c>
      <c r="D32" s="17">
        <f t="shared" si="19"/>
        <v>448.28389817891411</v>
      </c>
      <c r="E32" s="17">
        <f t="shared" si="20"/>
        <v>8780.7013693244262</v>
      </c>
      <c r="F32" s="21">
        <f t="shared" si="21"/>
        <v>45013.366412145275</v>
      </c>
      <c r="G32" s="20">
        <f t="shared" si="9"/>
        <v>19</v>
      </c>
      <c r="H32" s="17">
        <f t="shared" si="10"/>
        <v>90345.550836102266</v>
      </c>
      <c r="I32" s="17">
        <f t="shared" si="0"/>
        <v>7338.405617294171</v>
      </c>
      <c r="J32" s="17">
        <f t="shared" si="1"/>
        <v>752.87959030085221</v>
      </c>
      <c r="K32" s="17">
        <f t="shared" si="11"/>
        <v>6585.5260269933187</v>
      </c>
      <c r="L32" s="21">
        <f t="shared" si="12"/>
        <v>83760.024809108945</v>
      </c>
      <c r="M32" s="20">
        <f t="shared" si="13"/>
        <v>19</v>
      </c>
      <c r="N32" s="17">
        <f t="shared" si="14"/>
        <v>78128.188800416407</v>
      </c>
      <c r="O32" s="17">
        <f t="shared" si="22"/>
        <v>13403.780995794732</v>
      </c>
      <c r="P32" s="17">
        <f t="shared" si="15"/>
        <v>651.06824000347001</v>
      </c>
      <c r="Q32" s="17">
        <f t="shared" si="16"/>
        <v>12752.712755791263</v>
      </c>
      <c r="R32" s="21">
        <f t="shared" si="17"/>
        <v>65375.476044625146</v>
      </c>
    </row>
    <row r="33" spans="1:18" x14ac:dyDescent="0.2">
      <c r="A33" s="20">
        <f t="shared" si="3"/>
        <v>20</v>
      </c>
      <c r="B33" s="17">
        <f t="shared" si="18"/>
        <v>45013.366412145275</v>
      </c>
      <c r="C33" s="17">
        <f t="shared" si="5"/>
        <v>9228.9852675033399</v>
      </c>
      <c r="D33" s="17">
        <f t="shared" si="19"/>
        <v>375.11138676787726</v>
      </c>
      <c r="E33" s="17">
        <f t="shared" si="20"/>
        <v>8853.8738807354621</v>
      </c>
      <c r="F33" s="21">
        <f t="shared" si="21"/>
        <v>36159.492531409815</v>
      </c>
      <c r="G33" s="20">
        <f t="shared" si="9"/>
        <v>20</v>
      </c>
      <c r="H33" s="17">
        <f t="shared" si="10"/>
        <v>83760.024809108945</v>
      </c>
      <c r="I33" s="17">
        <f t="shared" si="0"/>
        <v>7338.405617294171</v>
      </c>
      <c r="J33" s="17">
        <f t="shared" si="1"/>
        <v>698.00020674257451</v>
      </c>
      <c r="K33" s="17">
        <f t="shared" si="11"/>
        <v>6640.4054105515961</v>
      </c>
      <c r="L33" s="21">
        <f t="shared" si="12"/>
        <v>77119.619398557348</v>
      </c>
      <c r="M33" s="20">
        <f t="shared" si="13"/>
        <v>20</v>
      </c>
      <c r="N33" s="17">
        <f t="shared" si="14"/>
        <v>65375.476044625146</v>
      </c>
      <c r="O33" s="17">
        <f t="shared" si="22"/>
        <v>13403.780995794732</v>
      </c>
      <c r="P33" s="17">
        <f t="shared" si="15"/>
        <v>544.79563370520953</v>
      </c>
      <c r="Q33" s="17">
        <f t="shared" si="16"/>
        <v>12858.985362089523</v>
      </c>
      <c r="R33" s="21">
        <f t="shared" si="17"/>
        <v>52516.490682535623</v>
      </c>
    </row>
    <row r="34" spans="1:18" x14ac:dyDescent="0.2">
      <c r="A34" s="20">
        <f t="shared" si="3"/>
        <v>21</v>
      </c>
      <c r="B34" s="17">
        <f t="shared" si="18"/>
        <v>36159.492531409815</v>
      </c>
      <c r="C34" s="17">
        <f t="shared" si="5"/>
        <v>9228.9852675033399</v>
      </c>
      <c r="D34" s="17">
        <f t="shared" si="19"/>
        <v>301.32910442841512</v>
      </c>
      <c r="E34" s="17">
        <f t="shared" si="20"/>
        <v>8927.6561630749238</v>
      </c>
      <c r="F34" s="21">
        <f t="shared" si="21"/>
        <v>27231.836368334891</v>
      </c>
      <c r="G34" s="20">
        <f t="shared" si="9"/>
        <v>21</v>
      </c>
      <c r="H34" s="17">
        <f t="shared" si="10"/>
        <v>77119.619398557348</v>
      </c>
      <c r="I34" s="17">
        <f t="shared" si="0"/>
        <v>7338.405617294171</v>
      </c>
      <c r="J34" s="17">
        <f t="shared" si="1"/>
        <v>642.66349498797786</v>
      </c>
      <c r="K34" s="17">
        <f t="shared" si="11"/>
        <v>6695.7421223061929</v>
      </c>
      <c r="L34" s="21">
        <f t="shared" si="12"/>
        <v>70423.877276251151</v>
      </c>
      <c r="M34" s="20">
        <f t="shared" si="13"/>
        <v>21</v>
      </c>
      <c r="N34" s="17">
        <f t="shared" si="14"/>
        <v>52516.490682535623</v>
      </c>
      <c r="O34" s="17">
        <f t="shared" si="22"/>
        <v>13403.780995794732</v>
      </c>
      <c r="P34" s="17">
        <f t="shared" si="15"/>
        <v>437.63742235446352</v>
      </c>
      <c r="Q34" s="17">
        <f t="shared" si="16"/>
        <v>12966.143573440269</v>
      </c>
      <c r="R34" s="21">
        <f t="shared" si="17"/>
        <v>39550.347109095354</v>
      </c>
    </row>
    <row r="35" spans="1:18" x14ac:dyDescent="0.2">
      <c r="A35" s="20">
        <f>A34+1</f>
        <v>22</v>
      </c>
      <c r="B35" s="17">
        <f t="shared" si="18"/>
        <v>27231.836368334891</v>
      </c>
      <c r="C35" s="17">
        <f t="shared" si="5"/>
        <v>9228.9852675033399</v>
      </c>
      <c r="D35" s="17">
        <f t="shared" si="19"/>
        <v>226.93196973612407</v>
      </c>
      <c r="E35" s="17">
        <f t="shared" si="20"/>
        <v>9002.0532977672156</v>
      </c>
      <c r="F35" s="21">
        <f t="shared" si="21"/>
        <v>18229.783070567675</v>
      </c>
      <c r="G35" s="20">
        <f>G34+1</f>
        <v>22</v>
      </c>
      <c r="H35" s="17">
        <f t="shared" si="10"/>
        <v>70423.877276251151</v>
      </c>
      <c r="I35" s="17">
        <f t="shared" si="0"/>
        <v>7338.405617294171</v>
      </c>
      <c r="J35" s="17">
        <f t="shared" si="1"/>
        <v>586.86564396875963</v>
      </c>
      <c r="K35" s="17">
        <f t="shared" si="11"/>
        <v>6751.5399733254117</v>
      </c>
      <c r="L35" s="21">
        <f t="shared" si="12"/>
        <v>63672.337302925742</v>
      </c>
      <c r="M35" s="20">
        <f>M34+1</f>
        <v>22</v>
      </c>
      <c r="N35" s="17">
        <f t="shared" si="14"/>
        <v>39550.347109095354</v>
      </c>
      <c r="O35" s="17">
        <f t="shared" si="22"/>
        <v>13403.780995794732</v>
      </c>
      <c r="P35" s="17">
        <f t="shared" si="15"/>
        <v>329.58622590912796</v>
      </c>
      <c r="Q35" s="17">
        <f t="shared" si="16"/>
        <v>13074.194769885604</v>
      </c>
      <c r="R35" s="21">
        <f t="shared" si="17"/>
        <v>26476.152339209752</v>
      </c>
    </row>
    <row r="36" spans="1:18" x14ac:dyDescent="0.2">
      <c r="A36" s="20">
        <f t="shared" si="3"/>
        <v>23</v>
      </c>
      <c r="B36" s="17">
        <f t="shared" si="18"/>
        <v>18229.783070567675</v>
      </c>
      <c r="C36" s="17">
        <f t="shared" si="5"/>
        <v>9228.9852675033399</v>
      </c>
      <c r="D36" s="17">
        <f t="shared" si="19"/>
        <v>151.9148589213973</v>
      </c>
      <c r="E36" s="17">
        <f t="shared" si="20"/>
        <v>9077.0704085819434</v>
      </c>
      <c r="F36" s="21">
        <f t="shared" si="21"/>
        <v>9152.7126619857318</v>
      </c>
      <c r="G36" s="20">
        <f t="shared" ref="G36:G37" si="23">G35+1</f>
        <v>23</v>
      </c>
      <c r="H36" s="17">
        <f t="shared" si="10"/>
        <v>63672.337302925742</v>
      </c>
      <c r="I36" s="17">
        <f t="shared" si="0"/>
        <v>7338.405617294171</v>
      </c>
      <c r="J36" s="17">
        <f t="shared" si="1"/>
        <v>530.60281085771453</v>
      </c>
      <c r="K36" s="17">
        <f t="shared" si="11"/>
        <v>6807.8028064364562</v>
      </c>
      <c r="L36" s="21">
        <f t="shared" si="12"/>
        <v>56864.534496489287</v>
      </c>
      <c r="M36" s="20">
        <f t="shared" ref="M36:M37" si="24">M35+1</f>
        <v>23</v>
      </c>
      <c r="N36" s="17">
        <f t="shared" si="14"/>
        <v>26476.152339209752</v>
      </c>
      <c r="O36" s="17">
        <f t="shared" si="22"/>
        <v>13403.780995794732</v>
      </c>
      <c r="P36" s="17">
        <f t="shared" si="15"/>
        <v>220.63460282674794</v>
      </c>
      <c r="Q36" s="17">
        <f t="shared" si="16"/>
        <v>13183.146392967985</v>
      </c>
      <c r="R36" s="21">
        <f t="shared" si="17"/>
        <v>13293.005946241767</v>
      </c>
    </row>
    <row r="37" spans="1:18" ht="17" thickBot="1" x14ac:dyDescent="0.25">
      <c r="A37" s="22">
        <f t="shared" si="3"/>
        <v>24</v>
      </c>
      <c r="B37" s="23">
        <f t="shared" si="18"/>
        <v>9152.7126619857318</v>
      </c>
      <c r="C37" s="23">
        <f t="shared" si="5"/>
        <v>9228.9852675033399</v>
      </c>
      <c r="D37" s="23">
        <f t="shared" si="19"/>
        <v>76.27260551654777</v>
      </c>
      <c r="E37" s="23">
        <f t="shared" si="20"/>
        <v>9152.7126619867922</v>
      </c>
      <c r="F37" s="24">
        <f t="shared" si="21"/>
        <v>-1.0604708222672343E-9</v>
      </c>
      <c r="G37" s="22">
        <f t="shared" si="23"/>
        <v>24</v>
      </c>
      <c r="H37" s="23">
        <f t="shared" si="10"/>
        <v>56864.534496489287</v>
      </c>
      <c r="I37" s="23">
        <f t="shared" si="0"/>
        <v>7338.405617294171</v>
      </c>
      <c r="J37" s="23">
        <f t="shared" si="1"/>
        <v>473.87112080407741</v>
      </c>
      <c r="K37" s="23">
        <f t="shared" si="11"/>
        <v>6864.5344964900933</v>
      </c>
      <c r="L37" s="24">
        <f t="shared" si="12"/>
        <v>49999.999999999192</v>
      </c>
      <c r="M37" s="22">
        <f t="shared" si="24"/>
        <v>24</v>
      </c>
      <c r="N37" s="23">
        <f t="shared" si="14"/>
        <v>13293.005946241767</v>
      </c>
      <c r="O37" s="23">
        <f t="shared" si="22"/>
        <v>13403.780995794732</v>
      </c>
      <c r="P37" s="23">
        <f t="shared" si="15"/>
        <v>110.77504955201472</v>
      </c>
      <c r="Q37" s="23">
        <f t="shared" si="16"/>
        <v>13293.005946242718</v>
      </c>
      <c r="R37" s="24">
        <f t="shared" si="17"/>
        <v>-9.5133145805448294E-10</v>
      </c>
    </row>
  </sheetData>
  <mergeCells count="3">
    <mergeCell ref="A1:F1"/>
    <mergeCell ref="G1:L1"/>
    <mergeCell ref="M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Amortization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Wenning, Derek Thomas</dc:creator>
  <cp:lastModifiedBy>Wenning, Derek Thomas</cp:lastModifiedBy>
  <dcterms:created xsi:type="dcterms:W3CDTF">2026-02-24T18:59:34Z</dcterms:created>
  <dcterms:modified xsi:type="dcterms:W3CDTF">2026-02-24T19:23:35Z</dcterms:modified>
</cp:coreProperties>
</file>