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dtwennin/Dropbox/Teaching_IU/F420_S2026/Problem_Sets/PS6/"/>
    </mc:Choice>
  </mc:AlternateContent>
  <xr:revisionPtr revIDLastSave="0" documentId="13_ncr:20001_{ED5045FD-ABBD-4241-BD6E-93E34A6DB1D1}" xr6:coauthVersionLast="47" xr6:coauthVersionMax="47" xr10:uidLastSave="{00000000-0000-0000-0000-000000000000}"/>
  <bookViews>
    <workbookView xWindow="0" yWindow="760" windowWidth="30240" windowHeight="18880" activeTab="3" xr2:uid="{00000000-000D-0000-FFFF-FFFF00000000}"/>
  </bookViews>
  <sheets>
    <sheet name="Start_Here" sheetId="1" r:id="rId1"/>
    <sheet name="Part1" sheetId="2" r:id="rId2"/>
    <sheet name="Sheet1" sheetId="8" r:id="rId3"/>
    <sheet name="Sheet2" sheetId="9" r:id="rId4"/>
    <sheet name="Part2" sheetId="3" r:id="rId5"/>
    <sheet name="Part3" sheetId="4" r:id="rId6"/>
    <sheet name="Part5" sheetId="6" r:id="rId7"/>
    <sheet name="Part4" sheetId="5" r:id="rId8"/>
    <sheet name="Solution_Summary" sheetId="7" r:id="rId9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9" l="1"/>
  <c r="D11" i="9"/>
  <c r="C10" i="9"/>
  <c r="D10" i="9"/>
  <c r="B10" i="9"/>
  <c r="B1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141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98" i="9"/>
  <c r="O200" i="9"/>
  <c r="P200" i="9" s="1"/>
  <c r="K200" i="9"/>
  <c r="G200" i="9"/>
  <c r="C200" i="9"/>
  <c r="D200" i="9" s="1"/>
  <c r="O199" i="9"/>
  <c r="P199" i="9" s="1"/>
  <c r="K199" i="9"/>
  <c r="L199" i="9" s="1"/>
  <c r="G199" i="9"/>
  <c r="H199" i="9" s="1"/>
  <c r="C199" i="9"/>
  <c r="D199" i="9" s="1"/>
  <c r="O198" i="9"/>
  <c r="K198" i="9"/>
  <c r="L198" i="9" s="1"/>
  <c r="G198" i="9"/>
  <c r="H198" i="9" s="1"/>
  <c r="C198" i="9"/>
  <c r="O197" i="9"/>
  <c r="K197" i="9"/>
  <c r="G197" i="9"/>
  <c r="C197" i="9"/>
  <c r="O196" i="9"/>
  <c r="K196" i="9"/>
  <c r="G196" i="9"/>
  <c r="C196" i="9"/>
  <c r="O195" i="9"/>
  <c r="K195" i="9"/>
  <c r="G195" i="9"/>
  <c r="C195" i="9"/>
  <c r="O194" i="9"/>
  <c r="K194" i="9"/>
  <c r="G194" i="9"/>
  <c r="C194" i="9"/>
  <c r="O193" i="9"/>
  <c r="K193" i="9"/>
  <c r="G193" i="9"/>
  <c r="C193" i="9"/>
  <c r="O192" i="9"/>
  <c r="K192" i="9"/>
  <c r="G192" i="9"/>
  <c r="C192" i="9"/>
  <c r="O191" i="9"/>
  <c r="K191" i="9"/>
  <c r="G191" i="9"/>
  <c r="C191" i="9"/>
  <c r="O190" i="9"/>
  <c r="K190" i="9"/>
  <c r="G190" i="9"/>
  <c r="C190" i="9"/>
  <c r="D190" i="9" s="1"/>
  <c r="O189" i="9"/>
  <c r="K189" i="9"/>
  <c r="G189" i="9"/>
  <c r="C189" i="9"/>
  <c r="D189" i="9" s="1"/>
  <c r="O188" i="9"/>
  <c r="K188" i="9"/>
  <c r="G188" i="9"/>
  <c r="C188" i="9"/>
  <c r="O187" i="9"/>
  <c r="K187" i="9"/>
  <c r="G187" i="9"/>
  <c r="C187" i="9"/>
  <c r="O186" i="9"/>
  <c r="P186" i="9" s="1"/>
  <c r="K186" i="9"/>
  <c r="L186" i="9" s="1"/>
  <c r="G186" i="9"/>
  <c r="H186" i="9" s="1"/>
  <c r="C186" i="9"/>
  <c r="D186" i="9" s="1"/>
  <c r="O185" i="9"/>
  <c r="P185" i="9" s="1"/>
  <c r="K185" i="9"/>
  <c r="L185" i="9" s="1"/>
  <c r="G185" i="9"/>
  <c r="H185" i="9" s="1"/>
  <c r="C185" i="9"/>
  <c r="D185" i="9" s="1"/>
  <c r="O184" i="9"/>
  <c r="K184" i="9"/>
  <c r="L184" i="9" s="1"/>
  <c r="G184" i="9"/>
  <c r="H184" i="9" s="1"/>
  <c r="C184" i="9"/>
  <c r="O183" i="9"/>
  <c r="K183" i="9"/>
  <c r="G183" i="9"/>
  <c r="C183" i="9"/>
  <c r="O182" i="9"/>
  <c r="K182" i="9"/>
  <c r="G182" i="9"/>
  <c r="C182" i="9"/>
  <c r="O181" i="9"/>
  <c r="K181" i="9"/>
  <c r="G181" i="9"/>
  <c r="C181" i="9"/>
  <c r="O180" i="9"/>
  <c r="K180" i="9"/>
  <c r="G180" i="9"/>
  <c r="C180" i="9"/>
  <c r="O179" i="9"/>
  <c r="K179" i="9"/>
  <c r="G179" i="9"/>
  <c r="C179" i="9"/>
  <c r="O178" i="9"/>
  <c r="K178" i="9"/>
  <c r="G178" i="9"/>
  <c r="H178" i="9" s="1"/>
  <c r="C178" i="9"/>
  <c r="O177" i="9"/>
  <c r="K177" i="9"/>
  <c r="G177" i="9"/>
  <c r="C177" i="9"/>
  <c r="O176" i="9"/>
  <c r="K176" i="9"/>
  <c r="G176" i="9"/>
  <c r="C176" i="9"/>
  <c r="O175" i="9"/>
  <c r="P175" i="9" s="1"/>
  <c r="K175" i="9"/>
  <c r="G175" i="9"/>
  <c r="C175" i="9"/>
  <c r="O174" i="9"/>
  <c r="K174" i="9"/>
  <c r="G174" i="9"/>
  <c r="C174" i="9"/>
  <c r="O173" i="9"/>
  <c r="K173" i="9"/>
  <c r="G173" i="9"/>
  <c r="C173" i="9"/>
  <c r="O172" i="9"/>
  <c r="P172" i="9" s="1"/>
  <c r="K172" i="9"/>
  <c r="L172" i="9" s="1"/>
  <c r="G172" i="9"/>
  <c r="H172" i="9" s="1"/>
  <c r="C172" i="9"/>
  <c r="D172" i="9" s="1"/>
  <c r="O171" i="9"/>
  <c r="P171" i="9" s="1"/>
  <c r="K171" i="9"/>
  <c r="L171" i="9" s="1"/>
  <c r="G171" i="9"/>
  <c r="H171" i="9" s="1"/>
  <c r="C171" i="9"/>
  <c r="D171" i="9" s="1"/>
  <c r="O170" i="9"/>
  <c r="K170" i="9"/>
  <c r="L170" i="9" s="1"/>
  <c r="G170" i="9"/>
  <c r="H170" i="9" s="1"/>
  <c r="C170" i="9"/>
  <c r="O169" i="9"/>
  <c r="K169" i="9"/>
  <c r="G169" i="9"/>
  <c r="C169" i="9"/>
  <c r="O168" i="9"/>
  <c r="K168" i="9"/>
  <c r="G168" i="9"/>
  <c r="C168" i="9"/>
  <c r="O167" i="9"/>
  <c r="K167" i="9"/>
  <c r="G167" i="9"/>
  <c r="C167" i="9"/>
  <c r="O166" i="9"/>
  <c r="K166" i="9"/>
  <c r="G166" i="9"/>
  <c r="C166" i="9"/>
  <c r="O165" i="9"/>
  <c r="K165" i="9"/>
  <c r="G165" i="9"/>
  <c r="C165" i="9"/>
  <c r="O164" i="9"/>
  <c r="K164" i="9"/>
  <c r="G164" i="9"/>
  <c r="C164" i="9"/>
  <c r="O163" i="9"/>
  <c r="K163" i="9"/>
  <c r="G163" i="9"/>
  <c r="C163" i="9"/>
  <c r="O162" i="9"/>
  <c r="K162" i="9"/>
  <c r="G162" i="9"/>
  <c r="C162" i="9"/>
  <c r="D162" i="9" s="1"/>
  <c r="O161" i="9"/>
  <c r="P161" i="9" s="1"/>
  <c r="K161" i="9"/>
  <c r="G161" i="9"/>
  <c r="C161" i="9"/>
  <c r="O160" i="9"/>
  <c r="K160" i="9"/>
  <c r="G160" i="9"/>
  <c r="C160" i="9"/>
  <c r="O159" i="9"/>
  <c r="K159" i="9"/>
  <c r="G159" i="9"/>
  <c r="C159" i="9"/>
  <c r="O158" i="9"/>
  <c r="P158" i="9" s="1"/>
  <c r="K158" i="9"/>
  <c r="L158" i="9" s="1"/>
  <c r="G158" i="9"/>
  <c r="H158" i="9" s="1"/>
  <c r="C158" i="9"/>
  <c r="D158" i="9" s="1"/>
  <c r="O157" i="9"/>
  <c r="P157" i="9" s="1"/>
  <c r="K157" i="9"/>
  <c r="L157" i="9" s="1"/>
  <c r="G157" i="9"/>
  <c r="H157" i="9" s="1"/>
  <c r="C157" i="9"/>
  <c r="D157" i="9" s="1"/>
  <c r="O156" i="9"/>
  <c r="K156" i="9"/>
  <c r="L156" i="9" s="1"/>
  <c r="G156" i="9"/>
  <c r="H156" i="9" s="1"/>
  <c r="C156" i="9"/>
  <c r="O155" i="9"/>
  <c r="K155" i="9"/>
  <c r="G155" i="9"/>
  <c r="C155" i="9"/>
  <c r="O154" i="9"/>
  <c r="K154" i="9"/>
  <c r="G154" i="9"/>
  <c r="C154" i="9"/>
  <c r="O153" i="9"/>
  <c r="K153" i="9"/>
  <c r="G153" i="9"/>
  <c r="C153" i="9"/>
  <c r="O152" i="9"/>
  <c r="K152" i="9"/>
  <c r="G152" i="9"/>
  <c r="C152" i="9"/>
  <c r="O151" i="9"/>
  <c r="K151" i="9"/>
  <c r="G151" i="9"/>
  <c r="C151" i="9"/>
  <c r="O150" i="9"/>
  <c r="K150" i="9"/>
  <c r="G150" i="9"/>
  <c r="C150" i="9"/>
  <c r="O149" i="9"/>
  <c r="K149" i="9"/>
  <c r="G149" i="9"/>
  <c r="C149" i="9"/>
  <c r="O148" i="9"/>
  <c r="K148" i="9"/>
  <c r="G148" i="9"/>
  <c r="C148" i="9"/>
  <c r="O147" i="9"/>
  <c r="K147" i="9"/>
  <c r="G147" i="9"/>
  <c r="C147" i="9"/>
  <c r="O146" i="9"/>
  <c r="K146" i="9"/>
  <c r="G146" i="9"/>
  <c r="C146" i="9"/>
  <c r="O145" i="9"/>
  <c r="K145" i="9"/>
  <c r="G145" i="9"/>
  <c r="C145" i="9"/>
  <c r="O144" i="9"/>
  <c r="K144" i="9"/>
  <c r="G144" i="9"/>
  <c r="C144" i="9"/>
  <c r="O143" i="9"/>
  <c r="P143" i="9" s="1"/>
  <c r="K143" i="9"/>
  <c r="L143" i="9" s="1"/>
  <c r="G143" i="9"/>
  <c r="H143" i="9" s="1"/>
  <c r="C143" i="9"/>
  <c r="D143" i="9" s="1"/>
  <c r="O142" i="9"/>
  <c r="K142" i="9"/>
  <c r="L142" i="9" s="1"/>
  <c r="G142" i="9"/>
  <c r="H142" i="9" s="1"/>
  <c r="C142" i="9"/>
  <c r="O141" i="9"/>
  <c r="K141" i="9"/>
  <c r="G141" i="9"/>
  <c r="C141" i="9"/>
  <c r="D141" i="9" s="1"/>
  <c r="O137" i="9"/>
  <c r="K137" i="9"/>
  <c r="G137" i="9"/>
  <c r="H137" i="9" s="1"/>
  <c r="C137" i="9"/>
  <c r="D137" i="9" s="1"/>
  <c r="O136" i="9"/>
  <c r="K136" i="9"/>
  <c r="G136" i="9"/>
  <c r="C136" i="9"/>
  <c r="O135" i="9"/>
  <c r="K135" i="9"/>
  <c r="G135" i="9"/>
  <c r="C135" i="9"/>
  <c r="O134" i="9"/>
  <c r="K134" i="9"/>
  <c r="G134" i="9"/>
  <c r="C134" i="9"/>
  <c r="O133" i="9"/>
  <c r="K133" i="9"/>
  <c r="G133" i="9"/>
  <c r="C133" i="9"/>
  <c r="O132" i="9"/>
  <c r="K132" i="9"/>
  <c r="G132" i="9"/>
  <c r="C132" i="9"/>
  <c r="O131" i="9"/>
  <c r="K131" i="9"/>
  <c r="G131" i="9"/>
  <c r="C131" i="9"/>
  <c r="O130" i="9"/>
  <c r="K130" i="9"/>
  <c r="G130" i="9"/>
  <c r="C130" i="9"/>
  <c r="O129" i="9"/>
  <c r="K129" i="9"/>
  <c r="G129" i="9"/>
  <c r="C129" i="9"/>
  <c r="O128" i="9"/>
  <c r="K128" i="9"/>
  <c r="G128" i="9"/>
  <c r="C128" i="9"/>
  <c r="O127" i="9"/>
  <c r="K127" i="9"/>
  <c r="G127" i="9"/>
  <c r="C127" i="9"/>
  <c r="O126" i="9"/>
  <c r="K126" i="9"/>
  <c r="G126" i="9"/>
  <c r="C126" i="9"/>
  <c r="O125" i="9"/>
  <c r="P125" i="9" s="1"/>
  <c r="K125" i="9"/>
  <c r="L125" i="9" s="1"/>
  <c r="G125" i="9"/>
  <c r="C125" i="9"/>
  <c r="O124" i="9"/>
  <c r="K124" i="9"/>
  <c r="L124" i="9" s="1"/>
  <c r="G124" i="9"/>
  <c r="H124" i="9" s="1"/>
  <c r="C124" i="9"/>
  <c r="D124" i="9" s="1"/>
  <c r="O123" i="9"/>
  <c r="K123" i="9"/>
  <c r="G123" i="9"/>
  <c r="H123" i="9" s="1"/>
  <c r="C123" i="9"/>
  <c r="O122" i="9"/>
  <c r="K122" i="9"/>
  <c r="G122" i="9"/>
  <c r="C122" i="9"/>
  <c r="O121" i="9"/>
  <c r="K121" i="9"/>
  <c r="G121" i="9"/>
  <c r="C121" i="9"/>
  <c r="O120" i="9"/>
  <c r="K120" i="9"/>
  <c r="G120" i="9"/>
  <c r="C120" i="9"/>
  <c r="O119" i="9"/>
  <c r="K119" i="9"/>
  <c r="G119" i="9"/>
  <c r="C119" i="9"/>
  <c r="O118" i="9"/>
  <c r="K118" i="9"/>
  <c r="G118" i="9"/>
  <c r="C118" i="9"/>
  <c r="O117" i="9"/>
  <c r="K117" i="9"/>
  <c r="G117" i="9"/>
  <c r="C117" i="9"/>
  <c r="O116" i="9"/>
  <c r="K116" i="9"/>
  <c r="G116" i="9"/>
  <c r="C116" i="9"/>
  <c r="O115" i="9"/>
  <c r="K115" i="9"/>
  <c r="G115" i="9"/>
  <c r="C115" i="9"/>
  <c r="O114" i="9"/>
  <c r="K114" i="9"/>
  <c r="G114" i="9"/>
  <c r="C114" i="9"/>
  <c r="O113" i="9"/>
  <c r="K113" i="9"/>
  <c r="G113" i="9"/>
  <c r="C113" i="9"/>
  <c r="O112" i="9"/>
  <c r="K112" i="9"/>
  <c r="G112" i="9"/>
  <c r="C112" i="9"/>
  <c r="O111" i="9"/>
  <c r="P111" i="9" s="1"/>
  <c r="K111" i="9"/>
  <c r="L111" i="9" s="1"/>
  <c r="G111" i="9"/>
  <c r="C111" i="9"/>
  <c r="O110" i="9"/>
  <c r="K110" i="9"/>
  <c r="L110" i="9" s="1"/>
  <c r="G110" i="9"/>
  <c r="H110" i="9" s="1"/>
  <c r="C110" i="9"/>
  <c r="D110" i="9" s="1"/>
  <c r="O109" i="9"/>
  <c r="P109" i="9" s="1"/>
  <c r="K109" i="9"/>
  <c r="G109" i="9"/>
  <c r="H109" i="9" s="1"/>
  <c r="C109" i="9"/>
  <c r="O108" i="9"/>
  <c r="K108" i="9"/>
  <c r="G108" i="9"/>
  <c r="C108" i="9"/>
  <c r="O107" i="9"/>
  <c r="K107" i="9"/>
  <c r="G107" i="9"/>
  <c r="C107" i="9"/>
  <c r="O106" i="9"/>
  <c r="K106" i="9"/>
  <c r="G106" i="9"/>
  <c r="C106" i="9"/>
  <c r="O105" i="9"/>
  <c r="K105" i="9"/>
  <c r="G105" i="9"/>
  <c r="C105" i="9"/>
  <c r="O104" i="9"/>
  <c r="K104" i="9"/>
  <c r="G104" i="9"/>
  <c r="C104" i="9"/>
  <c r="O103" i="9"/>
  <c r="K103" i="9"/>
  <c r="G103" i="9"/>
  <c r="C103" i="9"/>
  <c r="O102" i="9"/>
  <c r="K102" i="9"/>
  <c r="G102" i="9"/>
  <c r="C102" i="9"/>
  <c r="O101" i="9"/>
  <c r="K101" i="9"/>
  <c r="G101" i="9"/>
  <c r="C101" i="9"/>
  <c r="O100" i="9"/>
  <c r="K100" i="9"/>
  <c r="G100" i="9"/>
  <c r="C100" i="9"/>
  <c r="O99" i="9"/>
  <c r="K99" i="9"/>
  <c r="G99" i="9"/>
  <c r="H99" i="9" s="1"/>
  <c r="C99" i="9"/>
  <c r="O98" i="9"/>
  <c r="K98" i="9"/>
  <c r="G98" i="9"/>
  <c r="C98" i="9"/>
  <c r="D98" i="9" s="1"/>
  <c r="O97" i="9"/>
  <c r="P97" i="9" s="1"/>
  <c r="K97" i="9"/>
  <c r="L97" i="9" s="1"/>
  <c r="G97" i="9"/>
  <c r="H97" i="9" s="1"/>
  <c r="C97" i="9"/>
  <c r="D97" i="9" s="1"/>
  <c r="O96" i="9"/>
  <c r="P96" i="9" s="1"/>
  <c r="K96" i="9"/>
  <c r="L96" i="9" s="1"/>
  <c r="G96" i="9"/>
  <c r="H96" i="9" s="1"/>
  <c r="C96" i="9"/>
  <c r="D96" i="9" s="1"/>
  <c r="O95" i="9"/>
  <c r="P95" i="9" s="1"/>
  <c r="K95" i="9"/>
  <c r="L95" i="9" s="1"/>
  <c r="G95" i="9"/>
  <c r="H95" i="9" s="1"/>
  <c r="C95" i="9"/>
  <c r="D95" i="9" s="1"/>
  <c r="O94" i="9"/>
  <c r="P94" i="9" s="1"/>
  <c r="K94" i="9"/>
  <c r="L94" i="9" s="1"/>
  <c r="G94" i="9"/>
  <c r="H94" i="9" s="1"/>
  <c r="C94" i="9"/>
  <c r="D94" i="9" s="1"/>
  <c r="O93" i="9"/>
  <c r="P93" i="9" s="1"/>
  <c r="K93" i="9"/>
  <c r="L93" i="9" s="1"/>
  <c r="G93" i="9"/>
  <c r="H93" i="9" s="1"/>
  <c r="C93" i="9"/>
  <c r="D93" i="9" s="1"/>
  <c r="O92" i="9"/>
  <c r="P92" i="9" s="1"/>
  <c r="K92" i="9"/>
  <c r="L92" i="9" s="1"/>
  <c r="G92" i="9"/>
  <c r="H92" i="9" s="1"/>
  <c r="C92" i="9"/>
  <c r="D92" i="9" s="1"/>
  <c r="O91" i="9"/>
  <c r="P91" i="9" s="1"/>
  <c r="K91" i="9"/>
  <c r="L91" i="9" s="1"/>
  <c r="G91" i="9"/>
  <c r="H91" i="9" s="1"/>
  <c r="C91" i="9"/>
  <c r="D91" i="9" s="1"/>
  <c r="O90" i="9"/>
  <c r="P90" i="9" s="1"/>
  <c r="K90" i="9"/>
  <c r="L90" i="9" s="1"/>
  <c r="G90" i="9"/>
  <c r="H90" i="9" s="1"/>
  <c r="C90" i="9"/>
  <c r="D90" i="9" s="1"/>
  <c r="O89" i="9"/>
  <c r="P89" i="9" s="1"/>
  <c r="K89" i="9"/>
  <c r="L89" i="9" s="1"/>
  <c r="G89" i="9"/>
  <c r="H89" i="9" s="1"/>
  <c r="C89" i="9"/>
  <c r="D89" i="9" s="1"/>
  <c r="O88" i="9"/>
  <c r="P88" i="9" s="1"/>
  <c r="K88" i="9"/>
  <c r="L88" i="9" s="1"/>
  <c r="G88" i="9"/>
  <c r="H88" i="9" s="1"/>
  <c r="C88" i="9"/>
  <c r="D88" i="9" s="1"/>
  <c r="O87" i="9"/>
  <c r="P87" i="9" s="1"/>
  <c r="K87" i="9"/>
  <c r="L87" i="9" s="1"/>
  <c r="G87" i="9"/>
  <c r="H87" i="9" s="1"/>
  <c r="C87" i="9"/>
  <c r="D87" i="9" s="1"/>
  <c r="O86" i="9"/>
  <c r="P86" i="9" s="1"/>
  <c r="K86" i="9"/>
  <c r="L86" i="9" s="1"/>
  <c r="G86" i="9"/>
  <c r="H86" i="9" s="1"/>
  <c r="C86" i="9"/>
  <c r="D86" i="9" s="1"/>
  <c r="O85" i="9"/>
  <c r="P85" i="9" s="1"/>
  <c r="K85" i="9"/>
  <c r="L85" i="9" s="1"/>
  <c r="G85" i="9"/>
  <c r="H85" i="9" s="1"/>
  <c r="C85" i="9"/>
  <c r="D85" i="9" s="1"/>
  <c r="O84" i="9"/>
  <c r="P84" i="9" s="1"/>
  <c r="K84" i="9"/>
  <c r="L84" i="9" s="1"/>
  <c r="G84" i="9"/>
  <c r="H84" i="9" s="1"/>
  <c r="C84" i="9"/>
  <c r="D84" i="9" s="1"/>
  <c r="O83" i="9"/>
  <c r="P83" i="9" s="1"/>
  <c r="K83" i="9"/>
  <c r="L83" i="9" s="1"/>
  <c r="G83" i="9"/>
  <c r="H83" i="9" s="1"/>
  <c r="C83" i="9"/>
  <c r="D83" i="9" s="1"/>
  <c r="O82" i="9"/>
  <c r="P82" i="9" s="1"/>
  <c r="K82" i="9"/>
  <c r="L82" i="9" s="1"/>
  <c r="G82" i="9"/>
  <c r="H82" i="9" s="1"/>
  <c r="C82" i="9"/>
  <c r="D82" i="9" s="1"/>
  <c r="O81" i="9"/>
  <c r="P81" i="9" s="1"/>
  <c r="K81" i="9"/>
  <c r="L81" i="9" s="1"/>
  <c r="G81" i="9"/>
  <c r="H81" i="9" s="1"/>
  <c r="C81" i="9"/>
  <c r="D81" i="9" s="1"/>
  <c r="O80" i="9"/>
  <c r="P80" i="9" s="1"/>
  <c r="K80" i="9"/>
  <c r="L80" i="9" s="1"/>
  <c r="G80" i="9"/>
  <c r="H80" i="9" s="1"/>
  <c r="C80" i="9"/>
  <c r="D80" i="9" s="1"/>
  <c r="O79" i="9"/>
  <c r="P79" i="9" s="1"/>
  <c r="K79" i="9"/>
  <c r="L79" i="9" s="1"/>
  <c r="G79" i="9"/>
  <c r="H79" i="9" s="1"/>
  <c r="C79" i="9"/>
  <c r="D79" i="9" s="1"/>
  <c r="O78" i="9"/>
  <c r="P78" i="9" s="1"/>
  <c r="K78" i="9"/>
  <c r="L78" i="9" s="1"/>
  <c r="G78" i="9"/>
  <c r="H78" i="9" s="1"/>
  <c r="C78" i="9"/>
  <c r="D78" i="9" s="1"/>
  <c r="O74" i="9"/>
  <c r="P74" i="9" s="1"/>
  <c r="K74" i="9"/>
  <c r="L74" i="9" s="1"/>
  <c r="G74" i="9"/>
  <c r="H74" i="9" s="1"/>
  <c r="C74" i="9"/>
  <c r="D74" i="9" s="1"/>
  <c r="O73" i="9"/>
  <c r="P73" i="9" s="1"/>
  <c r="K73" i="9"/>
  <c r="L73" i="9" s="1"/>
  <c r="G73" i="9"/>
  <c r="H73" i="9" s="1"/>
  <c r="C73" i="9"/>
  <c r="D73" i="9" s="1"/>
  <c r="O72" i="9"/>
  <c r="P72" i="9" s="1"/>
  <c r="K72" i="9"/>
  <c r="L72" i="9" s="1"/>
  <c r="G72" i="9"/>
  <c r="H72" i="9" s="1"/>
  <c r="C72" i="9"/>
  <c r="D72" i="9" s="1"/>
  <c r="O71" i="9"/>
  <c r="P71" i="9" s="1"/>
  <c r="K71" i="9"/>
  <c r="L71" i="9" s="1"/>
  <c r="G71" i="9"/>
  <c r="H71" i="9" s="1"/>
  <c r="C71" i="9"/>
  <c r="D71" i="9" s="1"/>
  <c r="O70" i="9"/>
  <c r="P70" i="9" s="1"/>
  <c r="K70" i="9"/>
  <c r="L70" i="9" s="1"/>
  <c r="G70" i="9"/>
  <c r="H70" i="9" s="1"/>
  <c r="C70" i="9"/>
  <c r="D70" i="9" s="1"/>
  <c r="O69" i="9"/>
  <c r="P69" i="9" s="1"/>
  <c r="K69" i="9"/>
  <c r="L69" i="9" s="1"/>
  <c r="G69" i="9"/>
  <c r="H69" i="9" s="1"/>
  <c r="C69" i="9"/>
  <c r="D69" i="9" s="1"/>
  <c r="O68" i="9"/>
  <c r="P68" i="9" s="1"/>
  <c r="K68" i="9"/>
  <c r="L68" i="9" s="1"/>
  <c r="G68" i="9"/>
  <c r="H68" i="9" s="1"/>
  <c r="C68" i="9"/>
  <c r="D68" i="9" s="1"/>
  <c r="O67" i="9"/>
  <c r="P67" i="9" s="1"/>
  <c r="K67" i="9"/>
  <c r="L67" i="9" s="1"/>
  <c r="G67" i="9"/>
  <c r="H67" i="9" s="1"/>
  <c r="C67" i="9"/>
  <c r="D67" i="9" s="1"/>
  <c r="O66" i="9"/>
  <c r="P66" i="9" s="1"/>
  <c r="K66" i="9"/>
  <c r="L66" i="9" s="1"/>
  <c r="G66" i="9"/>
  <c r="H66" i="9" s="1"/>
  <c r="C66" i="9"/>
  <c r="D66" i="9" s="1"/>
  <c r="O65" i="9"/>
  <c r="P65" i="9" s="1"/>
  <c r="K65" i="9"/>
  <c r="L65" i="9" s="1"/>
  <c r="G65" i="9"/>
  <c r="H65" i="9" s="1"/>
  <c r="C65" i="9"/>
  <c r="D65" i="9" s="1"/>
  <c r="O64" i="9"/>
  <c r="P64" i="9" s="1"/>
  <c r="K64" i="9"/>
  <c r="L64" i="9" s="1"/>
  <c r="G64" i="9"/>
  <c r="H64" i="9" s="1"/>
  <c r="C64" i="9"/>
  <c r="D64" i="9" s="1"/>
  <c r="O63" i="9"/>
  <c r="P63" i="9" s="1"/>
  <c r="K63" i="9"/>
  <c r="L63" i="9" s="1"/>
  <c r="G63" i="9"/>
  <c r="H63" i="9" s="1"/>
  <c r="C63" i="9"/>
  <c r="D63" i="9" s="1"/>
  <c r="O62" i="9"/>
  <c r="P62" i="9" s="1"/>
  <c r="K62" i="9"/>
  <c r="L62" i="9" s="1"/>
  <c r="G62" i="9"/>
  <c r="H62" i="9" s="1"/>
  <c r="C62" i="9"/>
  <c r="D62" i="9" s="1"/>
  <c r="O61" i="9"/>
  <c r="P61" i="9" s="1"/>
  <c r="K61" i="9"/>
  <c r="L61" i="9" s="1"/>
  <c r="G61" i="9"/>
  <c r="H61" i="9" s="1"/>
  <c r="C61" i="9"/>
  <c r="D61" i="9" s="1"/>
  <c r="O60" i="9"/>
  <c r="P60" i="9" s="1"/>
  <c r="K60" i="9"/>
  <c r="L60" i="9" s="1"/>
  <c r="G60" i="9"/>
  <c r="H60" i="9" s="1"/>
  <c r="C60" i="9"/>
  <c r="D60" i="9" s="1"/>
  <c r="O59" i="9"/>
  <c r="P59" i="9" s="1"/>
  <c r="K59" i="9"/>
  <c r="L59" i="9" s="1"/>
  <c r="G59" i="9"/>
  <c r="H59" i="9" s="1"/>
  <c r="C59" i="9"/>
  <c r="D59" i="9" s="1"/>
  <c r="O58" i="9"/>
  <c r="P58" i="9" s="1"/>
  <c r="K58" i="9"/>
  <c r="L58" i="9" s="1"/>
  <c r="G58" i="9"/>
  <c r="H58" i="9" s="1"/>
  <c r="C58" i="9"/>
  <c r="D58" i="9" s="1"/>
  <c r="O57" i="9"/>
  <c r="P57" i="9" s="1"/>
  <c r="K57" i="9"/>
  <c r="L57" i="9" s="1"/>
  <c r="G57" i="9"/>
  <c r="H57" i="9" s="1"/>
  <c r="C57" i="9"/>
  <c r="D57" i="9" s="1"/>
  <c r="O56" i="9"/>
  <c r="P56" i="9" s="1"/>
  <c r="K56" i="9"/>
  <c r="L56" i="9" s="1"/>
  <c r="G56" i="9"/>
  <c r="H56" i="9" s="1"/>
  <c r="C56" i="9"/>
  <c r="D56" i="9" s="1"/>
  <c r="O55" i="9"/>
  <c r="P55" i="9" s="1"/>
  <c r="K55" i="9"/>
  <c r="L55" i="9" s="1"/>
  <c r="G55" i="9"/>
  <c r="H55" i="9" s="1"/>
  <c r="C55" i="9"/>
  <c r="D55" i="9" s="1"/>
  <c r="O54" i="9"/>
  <c r="P54" i="9" s="1"/>
  <c r="K54" i="9"/>
  <c r="L54" i="9" s="1"/>
  <c r="G54" i="9"/>
  <c r="H54" i="9" s="1"/>
  <c r="C54" i="9"/>
  <c r="D54" i="9" s="1"/>
  <c r="O53" i="9"/>
  <c r="P53" i="9" s="1"/>
  <c r="K53" i="9"/>
  <c r="L53" i="9" s="1"/>
  <c r="G53" i="9"/>
  <c r="H53" i="9" s="1"/>
  <c r="C53" i="9"/>
  <c r="D53" i="9" s="1"/>
  <c r="O52" i="9"/>
  <c r="P52" i="9" s="1"/>
  <c r="K52" i="9"/>
  <c r="L52" i="9" s="1"/>
  <c r="G52" i="9"/>
  <c r="H52" i="9" s="1"/>
  <c r="C52" i="9"/>
  <c r="D52" i="9" s="1"/>
  <c r="O51" i="9"/>
  <c r="P51" i="9" s="1"/>
  <c r="K51" i="9"/>
  <c r="L51" i="9" s="1"/>
  <c r="G51" i="9"/>
  <c r="H51" i="9" s="1"/>
  <c r="C51" i="9"/>
  <c r="D51" i="9" s="1"/>
  <c r="O50" i="9"/>
  <c r="P50" i="9" s="1"/>
  <c r="K50" i="9"/>
  <c r="L50" i="9" s="1"/>
  <c r="G50" i="9"/>
  <c r="H50" i="9" s="1"/>
  <c r="C50" i="9"/>
  <c r="D50" i="9" s="1"/>
  <c r="O49" i="9"/>
  <c r="P49" i="9" s="1"/>
  <c r="K49" i="9"/>
  <c r="L49" i="9" s="1"/>
  <c r="G49" i="9"/>
  <c r="H49" i="9" s="1"/>
  <c r="C49" i="9"/>
  <c r="D49" i="9" s="1"/>
  <c r="O48" i="9"/>
  <c r="P48" i="9" s="1"/>
  <c r="K48" i="9"/>
  <c r="L48" i="9" s="1"/>
  <c r="G48" i="9"/>
  <c r="H48" i="9" s="1"/>
  <c r="C48" i="9"/>
  <c r="D48" i="9" s="1"/>
  <c r="O47" i="9"/>
  <c r="P47" i="9" s="1"/>
  <c r="K47" i="9"/>
  <c r="L47" i="9" s="1"/>
  <c r="G47" i="9"/>
  <c r="H47" i="9" s="1"/>
  <c r="C47" i="9"/>
  <c r="D47" i="9" s="1"/>
  <c r="O46" i="9"/>
  <c r="P46" i="9" s="1"/>
  <c r="K46" i="9"/>
  <c r="L46" i="9" s="1"/>
  <c r="G46" i="9"/>
  <c r="H46" i="9" s="1"/>
  <c r="C46" i="9"/>
  <c r="D46" i="9" s="1"/>
  <c r="O45" i="9"/>
  <c r="P45" i="9" s="1"/>
  <c r="K45" i="9"/>
  <c r="L45" i="9" s="1"/>
  <c r="G45" i="9"/>
  <c r="H45" i="9" s="1"/>
  <c r="C45" i="9"/>
  <c r="D45" i="9" s="1"/>
  <c r="O44" i="9"/>
  <c r="P44" i="9" s="1"/>
  <c r="K44" i="9"/>
  <c r="L44" i="9" s="1"/>
  <c r="G44" i="9"/>
  <c r="H44" i="9" s="1"/>
  <c r="C44" i="9"/>
  <c r="D44" i="9" s="1"/>
  <c r="O43" i="9"/>
  <c r="P43" i="9" s="1"/>
  <c r="K43" i="9"/>
  <c r="L43" i="9" s="1"/>
  <c r="G43" i="9"/>
  <c r="H43" i="9" s="1"/>
  <c r="C43" i="9"/>
  <c r="D43" i="9" s="1"/>
  <c r="O42" i="9"/>
  <c r="P42" i="9" s="1"/>
  <c r="K42" i="9"/>
  <c r="L42" i="9" s="1"/>
  <c r="G42" i="9"/>
  <c r="H42" i="9" s="1"/>
  <c r="C42" i="9"/>
  <c r="D42" i="9" s="1"/>
  <c r="O41" i="9"/>
  <c r="P41" i="9" s="1"/>
  <c r="K41" i="9"/>
  <c r="L41" i="9" s="1"/>
  <c r="G41" i="9"/>
  <c r="H41" i="9" s="1"/>
  <c r="C41" i="9"/>
  <c r="D41" i="9" s="1"/>
  <c r="O40" i="9"/>
  <c r="P40" i="9" s="1"/>
  <c r="K40" i="9"/>
  <c r="L40" i="9" s="1"/>
  <c r="G40" i="9"/>
  <c r="H40" i="9" s="1"/>
  <c r="C40" i="9"/>
  <c r="D40" i="9" s="1"/>
  <c r="O39" i="9"/>
  <c r="P39" i="9" s="1"/>
  <c r="K39" i="9"/>
  <c r="L39" i="9" s="1"/>
  <c r="G39" i="9"/>
  <c r="H39" i="9" s="1"/>
  <c r="C39" i="9"/>
  <c r="D39" i="9" s="1"/>
  <c r="O38" i="9"/>
  <c r="P38" i="9" s="1"/>
  <c r="K38" i="9"/>
  <c r="L38" i="9" s="1"/>
  <c r="G38" i="9"/>
  <c r="H38" i="9" s="1"/>
  <c r="C38" i="9"/>
  <c r="D38" i="9" s="1"/>
  <c r="O37" i="9"/>
  <c r="P37" i="9" s="1"/>
  <c r="K37" i="9"/>
  <c r="L37" i="9" s="1"/>
  <c r="G37" i="9"/>
  <c r="H37" i="9" s="1"/>
  <c r="C37" i="9"/>
  <c r="D37" i="9" s="1"/>
  <c r="O36" i="9"/>
  <c r="P36" i="9" s="1"/>
  <c r="K36" i="9"/>
  <c r="L36" i="9" s="1"/>
  <c r="G36" i="9"/>
  <c r="H36" i="9" s="1"/>
  <c r="C36" i="9"/>
  <c r="D36" i="9" s="1"/>
  <c r="O35" i="9"/>
  <c r="P35" i="9" s="1"/>
  <c r="K35" i="9"/>
  <c r="L35" i="9" s="1"/>
  <c r="G35" i="9"/>
  <c r="H35" i="9" s="1"/>
  <c r="C35" i="9"/>
  <c r="D35" i="9" s="1"/>
  <c r="O34" i="9"/>
  <c r="P34" i="9" s="1"/>
  <c r="K34" i="9"/>
  <c r="L34" i="9" s="1"/>
  <c r="G34" i="9"/>
  <c r="H34" i="9" s="1"/>
  <c r="C34" i="9"/>
  <c r="D34" i="9" s="1"/>
  <c r="O33" i="9"/>
  <c r="P33" i="9" s="1"/>
  <c r="K33" i="9"/>
  <c r="L33" i="9" s="1"/>
  <c r="G33" i="9"/>
  <c r="H33" i="9" s="1"/>
  <c r="C33" i="9"/>
  <c r="D33" i="9" s="1"/>
  <c r="O32" i="9"/>
  <c r="P32" i="9" s="1"/>
  <c r="K32" i="9"/>
  <c r="L32" i="9" s="1"/>
  <c r="G32" i="9"/>
  <c r="H32" i="9" s="1"/>
  <c r="C32" i="9"/>
  <c r="D32" i="9" s="1"/>
  <c r="O31" i="9"/>
  <c r="P31" i="9" s="1"/>
  <c r="K31" i="9"/>
  <c r="L31" i="9" s="1"/>
  <c r="G31" i="9"/>
  <c r="H31" i="9" s="1"/>
  <c r="C31" i="9"/>
  <c r="D31" i="9" s="1"/>
  <c r="O30" i="9"/>
  <c r="P30" i="9" s="1"/>
  <c r="K30" i="9"/>
  <c r="L30" i="9" s="1"/>
  <c r="G30" i="9"/>
  <c r="H30" i="9" s="1"/>
  <c r="C30" i="9"/>
  <c r="D30" i="9" s="1"/>
  <c r="O29" i="9"/>
  <c r="P29" i="9" s="1"/>
  <c r="K29" i="9"/>
  <c r="L29" i="9" s="1"/>
  <c r="G29" i="9"/>
  <c r="H29" i="9" s="1"/>
  <c r="C29" i="9"/>
  <c r="D29" i="9" s="1"/>
  <c r="O28" i="9"/>
  <c r="P28" i="9" s="1"/>
  <c r="K28" i="9"/>
  <c r="L28" i="9" s="1"/>
  <c r="G28" i="9"/>
  <c r="H28" i="9" s="1"/>
  <c r="C28" i="9"/>
  <c r="D28" i="9" s="1"/>
  <c r="O27" i="9"/>
  <c r="P27" i="9" s="1"/>
  <c r="K27" i="9"/>
  <c r="L27" i="9" s="1"/>
  <c r="G27" i="9"/>
  <c r="H27" i="9" s="1"/>
  <c r="C27" i="9"/>
  <c r="D27" i="9" s="1"/>
  <c r="O26" i="9"/>
  <c r="P26" i="9" s="1"/>
  <c r="K26" i="9"/>
  <c r="L26" i="9" s="1"/>
  <c r="G26" i="9"/>
  <c r="H26" i="9" s="1"/>
  <c r="C26" i="9"/>
  <c r="D26" i="9" s="1"/>
  <c r="O25" i="9"/>
  <c r="P25" i="9" s="1"/>
  <c r="K25" i="9"/>
  <c r="L25" i="9" s="1"/>
  <c r="G25" i="9"/>
  <c r="H25" i="9" s="1"/>
  <c r="C25" i="9"/>
  <c r="D25" i="9" s="1"/>
  <c r="O24" i="9"/>
  <c r="P24" i="9" s="1"/>
  <c r="K24" i="9"/>
  <c r="L24" i="9" s="1"/>
  <c r="G24" i="9"/>
  <c r="H24" i="9" s="1"/>
  <c r="C24" i="9"/>
  <c r="D24" i="9" s="1"/>
  <c r="O23" i="9"/>
  <c r="P23" i="9" s="1"/>
  <c r="K23" i="9"/>
  <c r="L23" i="9" s="1"/>
  <c r="G23" i="9"/>
  <c r="H23" i="9" s="1"/>
  <c r="C23" i="9"/>
  <c r="D23" i="9" s="1"/>
  <c r="O22" i="9"/>
  <c r="P22" i="9" s="1"/>
  <c r="K22" i="9"/>
  <c r="L22" i="9" s="1"/>
  <c r="G22" i="9"/>
  <c r="H22" i="9" s="1"/>
  <c r="C22" i="9"/>
  <c r="D22" i="9" s="1"/>
  <c r="O21" i="9"/>
  <c r="P21" i="9" s="1"/>
  <c r="K21" i="9"/>
  <c r="L21" i="9" s="1"/>
  <c r="G21" i="9"/>
  <c r="H21" i="9" s="1"/>
  <c r="C21" i="9"/>
  <c r="D21" i="9" s="1"/>
  <c r="O20" i="9"/>
  <c r="P20" i="9" s="1"/>
  <c r="K20" i="9"/>
  <c r="L20" i="9" s="1"/>
  <c r="G20" i="9"/>
  <c r="H20" i="9" s="1"/>
  <c r="C20" i="9"/>
  <c r="D20" i="9" s="1"/>
  <c r="O19" i="9"/>
  <c r="P19" i="9" s="1"/>
  <c r="K19" i="9"/>
  <c r="L19" i="9" s="1"/>
  <c r="G19" i="9"/>
  <c r="H19" i="9" s="1"/>
  <c r="C19" i="9"/>
  <c r="D19" i="9" s="1"/>
  <c r="O18" i="9"/>
  <c r="P18" i="9" s="1"/>
  <c r="K18" i="9"/>
  <c r="L18" i="9" s="1"/>
  <c r="G18" i="9"/>
  <c r="H18" i="9" s="1"/>
  <c r="C18" i="9"/>
  <c r="D18" i="9" s="1"/>
  <c r="O17" i="9"/>
  <c r="P17" i="9" s="1"/>
  <c r="K17" i="9"/>
  <c r="L17" i="9" s="1"/>
  <c r="G17" i="9"/>
  <c r="H17" i="9" s="1"/>
  <c r="C17" i="9"/>
  <c r="D17" i="9" s="1"/>
  <c r="O16" i="9"/>
  <c r="P16" i="9" s="1"/>
  <c r="K16" i="9"/>
  <c r="L16" i="9" s="1"/>
  <c r="G16" i="9"/>
  <c r="H16" i="9" s="1"/>
  <c r="C16" i="9"/>
  <c r="D16" i="9" s="1"/>
  <c r="O15" i="9"/>
  <c r="P15" i="9" s="1"/>
  <c r="K15" i="9"/>
  <c r="L15" i="9" s="1"/>
  <c r="G15" i="9"/>
  <c r="H15" i="9" s="1"/>
  <c r="C15" i="9"/>
  <c r="D15" i="9" s="1"/>
  <c r="D7" i="9"/>
  <c r="C7" i="9"/>
  <c r="B7" i="9"/>
  <c r="C9" i="8"/>
  <c r="D9" i="8"/>
  <c r="E9" i="8"/>
  <c r="B9" i="8"/>
  <c r="C7" i="8"/>
  <c r="D7" i="8"/>
  <c r="E7" i="8"/>
  <c r="B7" i="8"/>
  <c r="C6" i="8"/>
  <c r="D6" i="8"/>
  <c r="E6" i="8"/>
  <c r="B6" i="8"/>
  <c r="G6" i="2"/>
  <c r="N74" i="8"/>
  <c r="O74" i="8" s="1"/>
  <c r="J74" i="8"/>
  <c r="K74" i="8" s="1"/>
  <c r="F74" i="8"/>
  <c r="G74" i="8" s="1"/>
  <c r="B74" i="8"/>
  <c r="C74" i="8" s="1"/>
  <c r="N73" i="8"/>
  <c r="O73" i="8" s="1"/>
  <c r="J73" i="8"/>
  <c r="K73" i="8" s="1"/>
  <c r="F73" i="8"/>
  <c r="G73" i="8" s="1"/>
  <c r="B73" i="8"/>
  <c r="C73" i="8" s="1"/>
  <c r="N72" i="8"/>
  <c r="O72" i="8" s="1"/>
  <c r="J72" i="8"/>
  <c r="K72" i="8" s="1"/>
  <c r="F72" i="8"/>
  <c r="G72" i="8" s="1"/>
  <c r="B72" i="8"/>
  <c r="C72" i="8" s="1"/>
  <c r="N71" i="8"/>
  <c r="O71" i="8" s="1"/>
  <c r="J71" i="8"/>
  <c r="K71" i="8" s="1"/>
  <c r="F71" i="8"/>
  <c r="G71" i="8" s="1"/>
  <c r="B71" i="8"/>
  <c r="C71" i="8" s="1"/>
  <c r="N70" i="8"/>
  <c r="O70" i="8" s="1"/>
  <c r="J70" i="8"/>
  <c r="K70" i="8" s="1"/>
  <c r="F70" i="8"/>
  <c r="G70" i="8" s="1"/>
  <c r="B70" i="8"/>
  <c r="C70" i="8" s="1"/>
  <c r="N69" i="8"/>
  <c r="O69" i="8" s="1"/>
  <c r="J69" i="8"/>
  <c r="K69" i="8" s="1"/>
  <c r="F69" i="8"/>
  <c r="G69" i="8" s="1"/>
  <c r="B69" i="8"/>
  <c r="C69" i="8" s="1"/>
  <c r="N68" i="8"/>
  <c r="O68" i="8" s="1"/>
  <c r="J68" i="8"/>
  <c r="K68" i="8" s="1"/>
  <c r="F68" i="8"/>
  <c r="G68" i="8" s="1"/>
  <c r="B68" i="8"/>
  <c r="C68" i="8" s="1"/>
  <c r="N67" i="8"/>
  <c r="O67" i="8" s="1"/>
  <c r="J67" i="8"/>
  <c r="K67" i="8" s="1"/>
  <c r="F67" i="8"/>
  <c r="G67" i="8" s="1"/>
  <c r="B67" i="8"/>
  <c r="C67" i="8" s="1"/>
  <c r="N66" i="8"/>
  <c r="O66" i="8" s="1"/>
  <c r="J66" i="8"/>
  <c r="K66" i="8" s="1"/>
  <c r="F66" i="8"/>
  <c r="G66" i="8" s="1"/>
  <c r="B66" i="8"/>
  <c r="C66" i="8" s="1"/>
  <c r="N65" i="8"/>
  <c r="O65" i="8" s="1"/>
  <c r="J65" i="8"/>
  <c r="K65" i="8" s="1"/>
  <c r="F65" i="8"/>
  <c r="G65" i="8" s="1"/>
  <c r="B65" i="8"/>
  <c r="C65" i="8" s="1"/>
  <c r="N64" i="8"/>
  <c r="O64" i="8" s="1"/>
  <c r="J64" i="8"/>
  <c r="K64" i="8" s="1"/>
  <c r="F64" i="8"/>
  <c r="G64" i="8" s="1"/>
  <c r="B64" i="8"/>
  <c r="C64" i="8" s="1"/>
  <c r="N63" i="8"/>
  <c r="O63" i="8" s="1"/>
  <c r="J63" i="8"/>
  <c r="K63" i="8" s="1"/>
  <c r="F63" i="8"/>
  <c r="G63" i="8" s="1"/>
  <c r="B63" i="8"/>
  <c r="C63" i="8" s="1"/>
  <c r="N62" i="8"/>
  <c r="O62" i="8" s="1"/>
  <c r="J62" i="8"/>
  <c r="K62" i="8" s="1"/>
  <c r="F62" i="8"/>
  <c r="G62" i="8" s="1"/>
  <c r="B62" i="8"/>
  <c r="C62" i="8" s="1"/>
  <c r="N61" i="8"/>
  <c r="O61" i="8" s="1"/>
  <c r="J61" i="8"/>
  <c r="K61" i="8" s="1"/>
  <c r="F61" i="8"/>
  <c r="G61" i="8" s="1"/>
  <c r="B61" i="8"/>
  <c r="C61" i="8" s="1"/>
  <c r="N60" i="8"/>
  <c r="O60" i="8" s="1"/>
  <c r="J60" i="8"/>
  <c r="K60" i="8" s="1"/>
  <c r="F60" i="8"/>
  <c r="G60" i="8" s="1"/>
  <c r="B60" i="8"/>
  <c r="C60" i="8" s="1"/>
  <c r="N59" i="8"/>
  <c r="O59" i="8" s="1"/>
  <c r="J59" i="8"/>
  <c r="K59" i="8" s="1"/>
  <c r="F59" i="8"/>
  <c r="G59" i="8" s="1"/>
  <c r="B59" i="8"/>
  <c r="C59" i="8" s="1"/>
  <c r="N58" i="8"/>
  <c r="O58" i="8" s="1"/>
  <c r="J58" i="8"/>
  <c r="K58" i="8" s="1"/>
  <c r="F58" i="8"/>
  <c r="G58" i="8" s="1"/>
  <c r="B58" i="8"/>
  <c r="C58" i="8" s="1"/>
  <c r="N57" i="8"/>
  <c r="O57" i="8" s="1"/>
  <c r="J57" i="8"/>
  <c r="K57" i="8" s="1"/>
  <c r="F57" i="8"/>
  <c r="G57" i="8" s="1"/>
  <c r="B57" i="8"/>
  <c r="C57" i="8" s="1"/>
  <c r="N56" i="8"/>
  <c r="O56" i="8" s="1"/>
  <c r="J56" i="8"/>
  <c r="K56" i="8" s="1"/>
  <c r="F56" i="8"/>
  <c r="G56" i="8" s="1"/>
  <c r="B56" i="8"/>
  <c r="C56" i="8" s="1"/>
  <c r="N55" i="8"/>
  <c r="O55" i="8" s="1"/>
  <c r="J55" i="8"/>
  <c r="K55" i="8" s="1"/>
  <c r="F55" i="8"/>
  <c r="G55" i="8" s="1"/>
  <c r="B55" i="8"/>
  <c r="C55" i="8" s="1"/>
  <c r="N54" i="8"/>
  <c r="O54" i="8" s="1"/>
  <c r="J54" i="8"/>
  <c r="K54" i="8" s="1"/>
  <c r="F54" i="8"/>
  <c r="G54" i="8" s="1"/>
  <c r="B54" i="8"/>
  <c r="C54" i="8" s="1"/>
  <c r="N53" i="8"/>
  <c r="O53" i="8" s="1"/>
  <c r="J53" i="8"/>
  <c r="K53" i="8" s="1"/>
  <c r="F53" i="8"/>
  <c r="G53" i="8" s="1"/>
  <c r="B53" i="8"/>
  <c r="C53" i="8" s="1"/>
  <c r="N52" i="8"/>
  <c r="O52" i="8" s="1"/>
  <c r="J52" i="8"/>
  <c r="K52" i="8" s="1"/>
  <c r="F52" i="8"/>
  <c r="G52" i="8" s="1"/>
  <c r="B52" i="8"/>
  <c r="C52" i="8" s="1"/>
  <c r="N51" i="8"/>
  <c r="O51" i="8" s="1"/>
  <c r="J51" i="8"/>
  <c r="K51" i="8" s="1"/>
  <c r="F51" i="8"/>
  <c r="G51" i="8" s="1"/>
  <c r="B51" i="8"/>
  <c r="C51" i="8" s="1"/>
  <c r="N50" i="8"/>
  <c r="O50" i="8" s="1"/>
  <c r="J50" i="8"/>
  <c r="K50" i="8" s="1"/>
  <c r="F50" i="8"/>
  <c r="G50" i="8" s="1"/>
  <c r="B50" i="8"/>
  <c r="C50" i="8" s="1"/>
  <c r="N49" i="8"/>
  <c r="O49" i="8" s="1"/>
  <c r="J49" i="8"/>
  <c r="K49" i="8" s="1"/>
  <c r="F49" i="8"/>
  <c r="G49" i="8" s="1"/>
  <c r="B49" i="8"/>
  <c r="C49" i="8" s="1"/>
  <c r="N48" i="8"/>
  <c r="O48" i="8" s="1"/>
  <c r="J48" i="8"/>
  <c r="K48" i="8" s="1"/>
  <c r="F48" i="8"/>
  <c r="G48" i="8" s="1"/>
  <c r="B48" i="8"/>
  <c r="C48" i="8" s="1"/>
  <c r="N47" i="8"/>
  <c r="O47" i="8" s="1"/>
  <c r="J47" i="8"/>
  <c r="K47" i="8" s="1"/>
  <c r="F47" i="8"/>
  <c r="G47" i="8" s="1"/>
  <c r="B47" i="8"/>
  <c r="C47" i="8" s="1"/>
  <c r="N46" i="8"/>
  <c r="O46" i="8" s="1"/>
  <c r="J46" i="8"/>
  <c r="K46" i="8" s="1"/>
  <c r="F46" i="8"/>
  <c r="G46" i="8" s="1"/>
  <c r="B46" i="8"/>
  <c r="C46" i="8" s="1"/>
  <c r="N45" i="8"/>
  <c r="O45" i="8" s="1"/>
  <c r="J45" i="8"/>
  <c r="K45" i="8" s="1"/>
  <c r="F45" i="8"/>
  <c r="G45" i="8" s="1"/>
  <c r="B45" i="8"/>
  <c r="C45" i="8" s="1"/>
  <c r="N44" i="8"/>
  <c r="O44" i="8" s="1"/>
  <c r="J44" i="8"/>
  <c r="K44" i="8" s="1"/>
  <c r="F44" i="8"/>
  <c r="G44" i="8" s="1"/>
  <c r="B44" i="8"/>
  <c r="C44" i="8" s="1"/>
  <c r="N43" i="8"/>
  <c r="O43" i="8" s="1"/>
  <c r="J43" i="8"/>
  <c r="K43" i="8" s="1"/>
  <c r="F43" i="8"/>
  <c r="G43" i="8" s="1"/>
  <c r="B43" i="8"/>
  <c r="C43" i="8" s="1"/>
  <c r="N42" i="8"/>
  <c r="O42" i="8" s="1"/>
  <c r="J42" i="8"/>
  <c r="K42" i="8" s="1"/>
  <c r="F42" i="8"/>
  <c r="G42" i="8" s="1"/>
  <c r="B42" i="8"/>
  <c r="C42" i="8" s="1"/>
  <c r="N41" i="8"/>
  <c r="O41" i="8" s="1"/>
  <c r="J41" i="8"/>
  <c r="K41" i="8" s="1"/>
  <c r="F41" i="8"/>
  <c r="G41" i="8" s="1"/>
  <c r="B41" i="8"/>
  <c r="C41" i="8" s="1"/>
  <c r="N40" i="8"/>
  <c r="O40" i="8" s="1"/>
  <c r="J40" i="8"/>
  <c r="K40" i="8" s="1"/>
  <c r="F40" i="8"/>
  <c r="G40" i="8" s="1"/>
  <c r="B40" i="8"/>
  <c r="C40" i="8" s="1"/>
  <c r="N39" i="8"/>
  <c r="O39" i="8" s="1"/>
  <c r="J39" i="8"/>
  <c r="K39" i="8" s="1"/>
  <c r="F39" i="8"/>
  <c r="G39" i="8" s="1"/>
  <c r="B39" i="8"/>
  <c r="C39" i="8" s="1"/>
  <c r="N38" i="8"/>
  <c r="O38" i="8" s="1"/>
  <c r="J38" i="8"/>
  <c r="K38" i="8" s="1"/>
  <c r="F38" i="8"/>
  <c r="G38" i="8" s="1"/>
  <c r="B38" i="8"/>
  <c r="C38" i="8" s="1"/>
  <c r="N37" i="8"/>
  <c r="O37" i="8" s="1"/>
  <c r="J37" i="8"/>
  <c r="K37" i="8" s="1"/>
  <c r="F37" i="8"/>
  <c r="G37" i="8" s="1"/>
  <c r="B37" i="8"/>
  <c r="C37" i="8" s="1"/>
  <c r="N36" i="8"/>
  <c r="O36" i="8" s="1"/>
  <c r="J36" i="8"/>
  <c r="K36" i="8" s="1"/>
  <c r="F36" i="8"/>
  <c r="G36" i="8" s="1"/>
  <c r="B36" i="8"/>
  <c r="C36" i="8" s="1"/>
  <c r="N35" i="8"/>
  <c r="O35" i="8" s="1"/>
  <c r="J35" i="8"/>
  <c r="K35" i="8" s="1"/>
  <c r="F35" i="8"/>
  <c r="G35" i="8" s="1"/>
  <c r="B35" i="8"/>
  <c r="C35" i="8" s="1"/>
  <c r="N34" i="8"/>
  <c r="O34" i="8" s="1"/>
  <c r="J34" i="8"/>
  <c r="K34" i="8" s="1"/>
  <c r="F34" i="8"/>
  <c r="G34" i="8" s="1"/>
  <c r="B34" i="8"/>
  <c r="C34" i="8" s="1"/>
  <c r="N33" i="8"/>
  <c r="O33" i="8" s="1"/>
  <c r="J33" i="8"/>
  <c r="K33" i="8" s="1"/>
  <c r="F33" i="8"/>
  <c r="G33" i="8" s="1"/>
  <c r="B33" i="8"/>
  <c r="C33" i="8" s="1"/>
  <c r="N32" i="8"/>
  <c r="O32" i="8" s="1"/>
  <c r="J32" i="8"/>
  <c r="K32" i="8" s="1"/>
  <c r="F32" i="8"/>
  <c r="G32" i="8" s="1"/>
  <c r="B32" i="8"/>
  <c r="C32" i="8" s="1"/>
  <c r="N31" i="8"/>
  <c r="O31" i="8" s="1"/>
  <c r="J31" i="8"/>
  <c r="K31" i="8" s="1"/>
  <c r="F31" i="8"/>
  <c r="G31" i="8" s="1"/>
  <c r="B31" i="8"/>
  <c r="C31" i="8" s="1"/>
  <c r="N30" i="8"/>
  <c r="O30" i="8" s="1"/>
  <c r="J30" i="8"/>
  <c r="K30" i="8" s="1"/>
  <c r="F30" i="8"/>
  <c r="G30" i="8" s="1"/>
  <c r="B30" i="8"/>
  <c r="C30" i="8" s="1"/>
  <c r="N29" i="8"/>
  <c r="O29" i="8" s="1"/>
  <c r="J29" i="8"/>
  <c r="K29" i="8" s="1"/>
  <c r="F29" i="8"/>
  <c r="G29" i="8" s="1"/>
  <c r="B29" i="8"/>
  <c r="C29" i="8" s="1"/>
  <c r="N28" i="8"/>
  <c r="O28" i="8" s="1"/>
  <c r="J28" i="8"/>
  <c r="K28" i="8" s="1"/>
  <c r="F28" i="8"/>
  <c r="G28" i="8" s="1"/>
  <c r="B28" i="8"/>
  <c r="C28" i="8" s="1"/>
  <c r="N27" i="8"/>
  <c r="O27" i="8" s="1"/>
  <c r="J27" i="8"/>
  <c r="K27" i="8" s="1"/>
  <c r="F27" i="8"/>
  <c r="G27" i="8" s="1"/>
  <c r="B27" i="8"/>
  <c r="C27" i="8" s="1"/>
  <c r="N26" i="8"/>
  <c r="O26" i="8" s="1"/>
  <c r="J26" i="8"/>
  <c r="K26" i="8" s="1"/>
  <c r="F26" i="8"/>
  <c r="G26" i="8" s="1"/>
  <c r="B26" i="8"/>
  <c r="C26" i="8" s="1"/>
  <c r="N25" i="8"/>
  <c r="O25" i="8" s="1"/>
  <c r="J25" i="8"/>
  <c r="K25" i="8" s="1"/>
  <c r="F25" i="8"/>
  <c r="G25" i="8" s="1"/>
  <c r="B25" i="8"/>
  <c r="C25" i="8" s="1"/>
  <c r="N24" i="8"/>
  <c r="O24" i="8" s="1"/>
  <c r="J24" i="8"/>
  <c r="K24" i="8" s="1"/>
  <c r="F24" i="8"/>
  <c r="G24" i="8" s="1"/>
  <c r="B24" i="8"/>
  <c r="C24" i="8" s="1"/>
  <c r="N23" i="8"/>
  <c r="O23" i="8" s="1"/>
  <c r="J23" i="8"/>
  <c r="K23" i="8" s="1"/>
  <c r="F23" i="8"/>
  <c r="G23" i="8" s="1"/>
  <c r="B23" i="8"/>
  <c r="C23" i="8" s="1"/>
  <c r="N22" i="8"/>
  <c r="O22" i="8" s="1"/>
  <c r="J22" i="8"/>
  <c r="K22" i="8" s="1"/>
  <c r="F22" i="8"/>
  <c r="G22" i="8" s="1"/>
  <c r="B22" i="8"/>
  <c r="C22" i="8" s="1"/>
  <c r="N21" i="8"/>
  <c r="O21" i="8" s="1"/>
  <c r="J21" i="8"/>
  <c r="K21" i="8" s="1"/>
  <c r="F21" i="8"/>
  <c r="G21" i="8" s="1"/>
  <c r="B21" i="8"/>
  <c r="C21" i="8" s="1"/>
  <c r="N20" i="8"/>
  <c r="O20" i="8" s="1"/>
  <c r="J20" i="8"/>
  <c r="K20" i="8" s="1"/>
  <c r="F20" i="8"/>
  <c r="G20" i="8" s="1"/>
  <c r="B20" i="8"/>
  <c r="C20" i="8" s="1"/>
  <c r="N19" i="8"/>
  <c r="O19" i="8" s="1"/>
  <c r="J19" i="8"/>
  <c r="K19" i="8" s="1"/>
  <c r="F19" i="8"/>
  <c r="G19" i="8" s="1"/>
  <c r="B19" i="8"/>
  <c r="C19" i="8" s="1"/>
  <c r="N18" i="8"/>
  <c r="O18" i="8" s="1"/>
  <c r="J18" i="8"/>
  <c r="K18" i="8" s="1"/>
  <c r="F18" i="8"/>
  <c r="G18" i="8" s="1"/>
  <c r="B18" i="8"/>
  <c r="C18" i="8" s="1"/>
  <c r="N17" i="8"/>
  <c r="O17" i="8" s="1"/>
  <c r="J17" i="8"/>
  <c r="K17" i="8" s="1"/>
  <c r="F17" i="8"/>
  <c r="G17" i="8" s="1"/>
  <c r="B17" i="8"/>
  <c r="C17" i="8" s="1"/>
  <c r="N16" i="8"/>
  <c r="O16" i="8" s="1"/>
  <c r="J16" i="8"/>
  <c r="K16" i="8" s="1"/>
  <c r="F16" i="8"/>
  <c r="G16" i="8" s="1"/>
  <c r="B16" i="8"/>
  <c r="C16" i="8" s="1"/>
  <c r="N15" i="8"/>
  <c r="O15" i="8" s="1"/>
  <c r="J15" i="8"/>
  <c r="K15" i="8" s="1"/>
  <c r="F15" i="8"/>
  <c r="G15" i="8" s="1"/>
  <c r="B15" i="8"/>
  <c r="C15" i="8" s="1"/>
  <c r="H102" i="9" l="1"/>
  <c r="H116" i="9"/>
  <c r="H130" i="9"/>
  <c r="L102" i="9"/>
  <c r="L116" i="9"/>
  <c r="L130" i="9"/>
  <c r="D151" i="9"/>
  <c r="D179" i="9"/>
  <c r="P102" i="9"/>
  <c r="P130" i="9"/>
  <c r="P154" i="9"/>
  <c r="H165" i="9"/>
  <c r="I165" i="9" s="1"/>
  <c r="J165" i="9" s="1"/>
  <c r="P165" i="9"/>
  <c r="L165" i="9"/>
  <c r="M165" i="9" s="1"/>
  <c r="N165" i="9" s="1"/>
  <c r="P151" i="9"/>
  <c r="D100" i="9"/>
  <c r="D114" i="9"/>
  <c r="D128" i="9"/>
  <c r="L193" i="9"/>
  <c r="D112" i="9"/>
  <c r="L98" i="9"/>
  <c r="L112" i="9"/>
  <c r="M112" i="9" s="1"/>
  <c r="N112" i="9" s="1"/>
  <c r="L119" i="9"/>
  <c r="L126" i="9"/>
  <c r="D154" i="9"/>
  <c r="D168" i="9"/>
  <c r="E168" i="9" s="1"/>
  <c r="F168" i="9" s="1"/>
  <c r="P105" i="9"/>
  <c r="Q105" i="9" s="1"/>
  <c r="R105" i="9" s="1"/>
  <c r="P119" i="9"/>
  <c r="Q119" i="9" s="1"/>
  <c r="R119" i="9" s="1"/>
  <c r="P133" i="9"/>
  <c r="H147" i="9"/>
  <c r="H154" i="9"/>
  <c r="H168" i="9"/>
  <c r="I168" i="9" s="1"/>
  <c r="J168" i="9" s="1"/>
  <c r="H175" i="9"/>
  <c r="I175" i="9" s="1"/>
  <c r="J175" i="9" s="1"/>
  <c r="H196" i="9"/>
  <c r="D99" i="9"/>
  <c r="D106" i="9"/>
  <c r="E106" i="9" s="1"/>
  <c r="F106" i="9" s="1"/>
  <c r="D113" i="9"/>
  <c r="D120" i="9"/>
  <c r="D127" i="9"/>
  <c r="D134" i="9"/>
  <c r="E134" i="9" s="1"/>
  <c r="F134" i="9" s="1"/>
  <c r="L154" i="9"/>
  <c r="M154" i="9" s="1"/>
  <c r="N154" i="9" s="1"/>
  <c r="L168" i="9"/>
  <c r="M168" i="9" s="1"/>
  <c r="N168" i="9" s="1"/>
  <c r="L182" i="9"/>
  <c r="M182" i="9" s="1"/>
  <c r="N182" i="9" s="1"/>
  <c r="L189" i="9"/>
  <c r="P147" i="9"/>
  <c r="P99" i="9"/>
  <c r="P113" i="9"/>
  <c r="Q113" i="9" s="1"/>
  <c r="R113" i="9" s="1"/>
  <c r="P127" i="9"/>
  <c r="H141" i="9"/>
  <c r="H148" i="9"/>
  <c r="H120" i="9"/>
  <c r="I120" i="9" s="1"/>
  <c r="J120" i="9" s="1"/>
  <c r="L106" i="9"/>
  <c r="L120" i="9"/>
  <c r="L134" i="9"/>
  <c r="P110" i="9"/>
  <c r="Q110" i="9" s="1"/>
  <c r="R110" i="9" s="1"/>
  <c r="P136" i="9"/>
  <c r="Q136" i="9" s="1"/>
  <c r="R136" i="9" s="1"/>
  <c r="H106" i="9"/>
  <c r="I106" i="9" s="1"/>
  <c r="J106" i="9" s="1"/>
  <c r="P124" i="9"/>
  <c r="H111" i="9"/>
  <c r="H125" i="9"/>
  <c r="P159" i="9"/>
  <c r="Q159" i="9" s="1"/>
  <c r="R159" i="9" s="1"/>
  <c r="L133" i="9"/>
  <c r="L178" i="9"/>
  <c r="L164" i="9"/>
  <c r="M164" i="9" s="1"/>
  <c r="N164" i="9" s="1"/>
  <c r="H191" i="9"/>
  <c r="H149" i="9"/>
  <c r="D144" i="9"/>
  <c r="E144" i="9" s="1"/>
  <c r="F144" i="9" s="1"/>
  <c r="H113" i="9"/>
  <c r="I113" i="9" s="1"/>
  <c r="J113" i="9" s="1"/>
  <c r="H127" i="9"/>
  <c r="I127" i="9" s="1"/>
  <c r="J127" i="9" s="1"/>
  <c r="H134" i="9"/>
  <c r="I134" i="9" s="1"/>
  <c r="J134" i="9" s="1"/>
  <c r="H144" i="9"/>
  <c r="P168" i="9"/>
  <c r="Q168" i="9" s="1"/>
  <c r="R168" i="9" s="1"/>
  <c r="H179" i="9"/>
  <c r="I179" i="9" s="1"/>
  <c r="J179" i="9" s="1"/>
  <c r="P182" i="9"/>
  <c r="Q182" i="9" s="1"/>
  <c r="R182" i="9" s="1"/>
  <c r="P196" i="9"/>
  <c r="Q196" i="9" s="1"/>
  <c r="R196" i="9" s="1"/>
  <c r="H200" i="9"/>
  <c r="D147" i="9"/>
  <c r="P144" i="9"/>
  <c r="Q144" i="9" s="1"/>
  <c r="R144" i="9" s="1"/>
  <c r="L103" i="9"/>
  <c r="L117" i="9"/>
  <c r="L131" i="9"/>
  <c r="L141" i="9"/>
  <c r="M141" i="9" s="1"/>
  <c r="N141" i="9" s="1"/>
  <c r="D152" i="9"/>
  <c r="E152" i="9" s="1"/>
  <c r="F152" i="9" s="1"/>
  <c r="L162" i="9"/>
  <c r="M162" i="9" s="1"/>
  <c r="N162" i="9" s="1"/>
  <c r="L190" i="9"/>
  <c r="M190" i="9" s="1"/>
  <c r="N190" i="9" s="1"/>
  <c r="H100" i="9"/>
  <c r="I100" i="9" s="1"/>
  <c r="J100" i="9" s="1"/>
  <c r="P103" i="9"/>
  <c r="H107" i="9"/>
  <c r="I107" i="9" s="1"/>
  <c r="J107" i="9" s="1"/>
  <c r="H114" i="9"/>
  <c r="I114" i="9" s="1"/>
  <c r="J114" i="9" s="1"/>
  <c r="P117" i="9"/>
  <c r="H121" i="9"/>
  <c r="H128" i="9"/>
  <c r="P131" i="9"/>
  <c r="Q131" i="9" s="1"/>
  <c r="R131" i="9" s="1"/>
  <c r="H135" i="9"/>
  <c r="I135" i="9" s="1"/>
  <c r="J135" i="9" s="1"/>
  <c r="P141" i="9"/>
  <c r="P148" i="9"/>
  <c r="H180" i="9"/>
  <c r="I180" i="9" s="1"/>
  <c r="J180" i="9" s="1"/>
  <c r="H194" i="9"/>
  <c r="I194" i="9" s="1"/>
  <c r="J194" i="9" s="1"/>
  <c r="D107" i="9"/>
  <c r="E107" i="9" s="1"/>
  <c r="F107" i="9" s="1"/>
  <c r="D121" i="9"/>
  <c r="D135" i="9"/>
  <c r="L148" i="9"/>
  <c r="M148" i="9" s="1"/>
  <c r="N148" i="9" s="1"/>
  <c r="D166" i="9"/>
  <c r="E166" i="9" s="1"/>
  <c r="F166" i="9" s="1"/>
  <c r="D187" i="9"/>
  <c r="D194" i="9"/>
  <c r="L100" i="9"/>
  <c r="D111" i="9"/>
  <c r="L114" i="9"/>
  <c r="D125" i="9"/>
  <c r="L128" i="9"/>
  <c r="L159" i="9"/>
  <c r="M159" i="9" s="1"/>
  <c r="N159" i="9" s="1"/>
  <c r="L187" i="9"/>
  <c r="M187" i="9" s="1"/>
  <c r="N187" i="9" s="1"/>
  <c r="P137" i="9"/>
  <c r="Q137" i="9" s="1"/>
  <c r="R137" i="9" s="1"/>
  <c r="L123" i="9"/>
  <c r="L109" i="9"/>
  <c r="M109" i="9" s="1"/>
  <c r="N109" i="9" s="1"/>
  <c r="H103" i="9"/>
  <c r="I103" i="9" s="1"/>
  <c r="J103" i="9" s="1"/>
  <c r="P106" i="9"/>
  <c r="Q106" i="9" s="1"/>
  <c r="R106" i="9" s="1"/>
  <c r="H117" i="9"/>
  <c r="P120" i="9"/>
  <c r="H131" i="9"/>
  <c r="P134" i="9"/>
  <c r="H162" i="9"/>
  <c r="I162" i="9" s="1"/>
  <c r="J162" i="9" s="1"/>
  <c r="H169" i="9"/>
  <c r="I169" i="9" s="1"/>
  <c r="J169" i="9" s="1"/>
  <c r="H176" i="9"/>
  <c r="I176" i="9" s="1"/>
  <c r="J176" i="9" s="1"/>
  <c r="H183" i="9"/>
  <c r="I183" i="9" s="1"/>
  <c r="J183" i="9" s="1"/>
  <c r="L179" i="9"/>
  <c r="M179" i="9" s="1"/>
  <c r="N179" i="9" s="1"/>
  <c r="H151" i="9"/>
  <c r="I151" i="9" s="1"/>
  <c r="J151" i="9" s="1"/>
  <c r="D148" i="9"/>
  <c r="E148" i="9" s="1"/>
  <c r="F148" i="9" s="1"/>
  <c r="D117" i="9"/>
  <c r="E117" i="9" s="1"/>
  <c r="F117" i="9" s="1"/>
  <c r="D132" i="9"/>
  <c r="E132" i="9" s="1"/>
  <c r="F132" i="9" s="1"/>
  <c r="D163" i="9"/>
  <c r="E163" i="9" s="1"/>
  <c r="F163" i="9" s="1"/>
  <c r="D177" i="9"/>
  <c r="D191" i="9"/>
  <c r="P107" i="9"/>
  <c r="Q107" i="9" s="1"/>
  <c r="R107" i="9" s="1"/>
  <c r="P152" i="9"/>
  <c r="H163" i="9"/>
  <c r="D122" i="9"/>
  <c r="D136" i="9"/>
  <c r="E136" i="9" s="1"/>
  <c r="F136" i="9" s="1"/>
  <c r="L163" i="9"/>
  <c r="M163" i="9" s="1"/>
  <c r="N163" i="9" s="1"/>
  <c r="H101" i="9"/>
  <c r="I101" i="9" s="1"/>
  <c r="J101" i="9" s="1"/>
  <c r="P104" i="9"/>
  <c r="Q104" i="9" s="1"/>
  <c r="R104" i="9" s="1"/>
  <c r="H108" i="9"/>
  <c r="I108" i="9" s="1"/>
  <c r="J108" i="9" s="1"/>
  <c r="H115" i="9"/>
  <c r="I115" i="9" s="1"/>
  <c r="J115" i="9" s="1"/>
  <c r="P118" i="9"/>
  <c r="Q118" i="9" s="1"/>
  <c r="R118" i="9" s="1"/>
  <c r="H122" i="9"/>
  <c r="I122" i="9" s="1"/>
  <c r="J122" i="9" s="1"/>
  <c r="H129" i="9"/>
  <c r="P132" i="9"/>
  <c r="H136" i="9"/>
  <c r="I136" i="9" s="1"/>
  <c r="J136" i="9" s="1"/>
  <c r="L127" i="9"/>
  <c r="M127" i="9" s="1"/>
  <c r="N127" i="9" s="1"/>
  <c r="L113" i="9"/>
  <c r="L99" i="9"/>
  <c r="M99" i="9" s="1"/>
  <c r="N99" i="9" s="1"/>
  <c r="P123" i="9"/>
  <c r="Q123" i="9" s="1"/>
  <c r="R123" i="9" s="1"/>
  <c r="D131" i="9"/>
  <c r="E131" i="9" s="1"/>
  <c r="F131" i="9" s="1"/>
  <c r="D104" i="9"/>
  <c r="E104" i="9" s="1"/>
  <c r="F104" i="9" s="1"/>
  <c r="L121" i="9"/>
  <c r="M121" i="9" s="1"/>
  <c r="N121" i="9" s="1"/>
  <c r="D149" i="9"/>
  <c r="E149" i="9" s="1"/>
  <c r="F149" i="9" s="1"/>
  <c r="H118" i="9"/>
  <c r="I118" i="9" s="1"/>
  <c r="J118" i="9" s="1"/>
  <c r="P135" i="9"/>
  <c r="Q135" i="9" s="1"/>
  <c r="R135" i="9" s="1"/>
  <c r="H177" i="9"/>
  <c r="I177" i="9" s="1"/>
  <c r="J177" i="9" s="1"/>
  <c r="L161" i="9"/>
  <c r="L104" i="9"/>
  <c r="L118" i="9"/>
  <c r="M118" i="9" s="1"/>
  <c r="N118" i="9" s="1"/>
  <c r="L132" i="9"/>
  <c r="L101" i="9"/>
  <c r="M101" i="9" s="1"/>
  <c r="N101" i="9" s="1"/>
  <c r="D105" i="9"/>
  <c r="L108" i="9"/>
  <c r="M108" i="9" s="1"/>
  <c r="N108" i="9" s="1"/>
  <c r="L115" i="9"/>
  <c r="M115" i="9" s="1"/>
  <c r="N115" i="9" s="1"/>
  <c r="D119" i="9"/>
  <c r="E119" i="9" s="1"/>
  <c r="F119" i="9" s="1"/>
  <c r="L122" i="9"/>
  <c r="M122" i="9" s="1"/>
  <c r="N122" i="9" s="1"/>
  <c r="L129" i="9"/>
  <c r="D133" i="9"/>
  <c r="E133" i="9" s="1"/>
  <c r="F133" i="9" s="1"/>
  <c r="L136" i="9"/>
  <c r="M136" i="9" s="1"/>
  <c r="N136" i="9" s="1"/>
  <c r="D164" i="9"/>
  <c r="E164" i="9" s="1"/>
  <c r="F164" i="9" s="1"/>
  <c r="H126" i="9"/>
  <c r="H112" i="9"/>
  <c r="L200" i="9"/>
  <c r="M200" i="9" s="1"/>
  <c r="N200" i="9" s="1"/>
  <c r="L144" i="9"/>
  <c r="P116" i="9"/>
  <c r="Q116" i="9" s="1"/>
  <c r="R116" i="9" s="1"/>
  <c r="H104" i="9"/>
  <c r="I104" i="9" s="1"/>
  <c r="J104" i="9" s="1"/>
  <c r="H132" i="9"/>
  <c r="H189" i="9"/>
  <c r="I189" i="9" s="1"/>
  <c r="J189" i="9" s="1"/>
  <c r="D108" i="9"/>
  <c r="E108" i="9" s="1"/>
  <c r="F108" i="9" s="1"/>
  <c r="L149" i="9"/>
  <c r="M149" i="9" s="1"/>
  <c r="N149" i="9" s="1"/>
  <c r="P101" i="9"/>
  <c r="H105" i="9"/>
  <c r="I105" i="9" s="1"/>
  <c r="J105" i="9" s="1"/>
  <c r="P108" i="9"/>
  <c r="Q108" i="9" s="1"/>
  <c r="R108" i="9" s="1"/>
  <c r="P115" i="9"/>
  <c r="Q115" i="9" s="1"/>
  <c r="R115" i="9" s="1"/>
  <c r="H119" i="9"/>
  <c r="P122" i="9"/>
  <c r="P129" i="9"/>
  <c r="Q129" i="9" s="1"/>
  <c r="R129" i="9" s="1"/>
  <c r="H133" i="9"/>
  <c r="P146" i="9"/>
  <c r="H150" i="9"/>
  <c r="I150" i="9" s="1"/>
  <c r="J150" i="9" s="1"/>
  <c r="P160" i="9"/>
  <c r="Q160" i="9" s="1"/>
  <c r="R160" i="9" s="1"/>
  <c r="H164" i="9"/>
  <c r="I164" i="9" s="1"/>
  <c r="J164" i="9" s="1"/>
  <c r="P174" i="9"/>
  <c r="Q174" i="9" s="1"/>
  <c r="R174" i="9" s="1"/>
  <c r="P188" i="9"/>
  <c r="Q188" i="9" s="1"/>
  <c r="R188" i="9" s="1"/>
  <c r="H192" i="9"/>
  <c r="I192" i="9" s="1"/>
  <c r="J192" i="9" s="1"/>
  <c r="D103" i="9"/>
  <c r="E103" i="9" s="1"/>
  <c r="F103" i="9" s="1"/>
  <c r="L107" i="9"/>
  <c r="M107" i="9" s="1"/>
  <c r="N107" i="9" s="1"/>
  <c r="D118" i="9"/>
  <c r="E118" i="9" s="1"/>
  <c r="F118" i="9" s="1"/>
  <c r="L135" i="9"/>
  <c r="P121" i="9"/>
  <c r="D101" i="9"/>
  <c r="E101" i="9" s="1"/>
  <c r="F101" i="9" s="1"/>
  <c r="D115" i="9"/>
  <c r="D129" i="9"/>
  <c r="L191" i="9"/>
  <c r="D102" i="9"/>
  <c r="E102" i="9" s="1"/>
  <c r="F102" i="9" s="1"/>
  <c r="L105" i="9"/>
  <c r="M105" i="9" s="1"/>
  <c r="N105" i="9" s="1"/>
  <c r="D109" i="9"/>
  <c r="E109" i="9" s="1"/>
  <c r="F109" i="9" s="1"/>
  <c r="D116" i="9"/>
  <c r="E116" i="9" s="1"/>
  <c r="F116" i="9" s="1"/>
  <c r="D123" i="9"/>
  <c r="D130" i="9"/>
  <c r="E130" i="9" s="1"/>
  <c r="F130" i="9" s="1"/>
  <c r="L150" i="9"/>
  <c r="M150" i="9" s="1"/>
  <c r="N150" i="9" s="1"/>
  <c r="D175" i="9"/>
  <c r="E175" i="9" s="1"/>
  <c r="F175" i="9" s="1"/>
  <c r="D182" i="9"/>
  <c r="H98" i="9"/>
  <c r="L137" i="9"/>
  <c r="D180" i="9"/>
  <c r="H166" i="9"/>
  <c r="I166" i="9" s="1"/>
  <c r="J166" i="9" s="1"/>
  <c r="H152" i="9"/>
  <c r="I152" i="9" s="1"/>
  <c r="J152" i="9" s="1"/>
  <c r="P193" i="9"/>
  <c r="D192" i="9"/>
  <c r="E192" i="9" s="1"/>
  <c r="F192" i="9" s="1"/>
  <c r="D150" i="9"/>
  <c r="E150" i="9" s="1"/>
  <c r="F150" i="9" s="1"/>
  <c r="D126" i="9"/>
  <c r="H161" i="9"/>
  <c r="I161" i="9" s="1"/>
  <c r="J161" i="9" s="1"/>
  <c r="L177" i="9"/>
  <c r="M177" i="9" s="1"/>
  <c r="N177" i="9" s="1"/>
  <c r="P100" i="9"/>
  <c r="Q100" i="9" s="1"/>
  <c r="R100" i="9" s="1"/>
  <c r="P114" i="9"/>
  <c r="Q114" i="9" s="1"/>
  <c r="R114" i="9" s="1"/>
  <c r="P128" i="9"/>
  <c r="D161" i="9"/>
  <c r="D193" i="9"/>
  <c r="P190" i="9"/>
  <c r="L176" i="9"/>
  <c r="P162" i="9"/>
  <c r="Q162" i="9" s="1"/>
  <c r="R162" i="9" s="1"/>
  <c r="H188" i="9"/>
  <c r="I188" i="9" s="1"/>
  <c r="J188" i="9" s="1"/>
  <c r="H174" i="9"/>
  <c r="I174" i="9" s="1"/>
  <c r="J174" i="9" s="1"/>
  <c r="L160" i="9"/>
  <c r="M160" i="9" s="1"/>
  <c r="N160" i="9" s="1"/>
  <c r="D146" i="9"/>
  <c r="E146" i="9" s="1"/>
  <c r="F146" i="9" s="1"/>
  <c r="H187" i="9"/>
  <c r="I187" i="9" s="1"/>
  <c r="J187" i="9" s="1"/>
  <c r="D173" i="9"/>
  <c r="E173" i="9" s="1"/>
  <c r="F173" i="9" s="1"/>
  <c r="H159" i="9"/>
  <c r="I159" i="9" s="1"/>
  <c r="J159" i="9" s="1"/>
  <c r="L145" i="9"/>
  <c r="M145" i="9" s="1"/>
  <c r="N145" i="9" s="1"/>
  <c r="L151" i="9"/>
  <c r="P98" i="9"/>
  <c r="P112" i="9"/>
  <c r="Q112" i="9" s="1"/>
  <c r="R112" i="9" s="1"/>
  <c r="P126" i="9"/>
  <c r="Q126" i="9" s="1"/>
  <c r="R126" i="9" s="1"/>
  <c r="P150" i="9"/>
  <c r="Q150" i="9" s="1"/>
  <c r="R150" i="9" s="1"/>
  <c r="P164" i="9"/>
  <c r="Q164" i="9" s="1"/>
  <c r="R164" i="9" s="1"/>
  <c r="P178" i="9"/>
  <c r="Q178" i="9" s="1"/>
  <c r="R178" i="9" s="1"/>
  <c r="P192" i="9"/>
  <c r="Q192" i="9" s="1"/>
  <c r="R192" i="9" s="1"/>
  <c r="D176" i="9"/>
  <c r="E176" i="9" s="1"/>
  <c r="F176" i="9" s="1"/>
  <c r="H197" i="9"/>
  <c r="I197" i="9" s="1"/>
  <c r="J197" i="9" s="1"/>
  <c r="H155" i="9"/>
  <c r="I155" i="9" s="1"/>
  <c r="J155" i="9" s="1"/>
  <c r="D196" i="9"/>
  <c r="E196" i="9" s="1"/>
  <c r="F196" i="9" s="1"/>
  <c r="H182" i="9"/>
  <c r="I182" i="9" s="1"/>
  <c r="J182" i="9" s="1"/>
  <c r="L195" i="9"/>
  <c r="M195" i="9" s="1"/>
  <c r="N195" i="9" s="1"/>
  <c r="D181" i="9"/>
  <c r="D167" i="9"/>
  <c r="H153" i="9"/>
  <c r="I153" i="9" s="1"/>
  <c r="J153" i="9" s="1"/>
  <c r="P173" i="9"/>
  <c r="P187" i="9"/>
  <c r="Q187" i="9" s="1"/>
  <c r="R187" i="9" s="1"/>
  <c r="D145" i="9"/>
  <c r="E145" i="9" s="1"/>
  <c r="F145" i="9" s="1"/>
  <c r="H167" i="9"/>
  <c r="I167" i="9" s="1"/>
  <c r="J167" i="9" s="1"/>
  <c r="L173" i="9"/>
  <c r="M173" i="9" s="1"/>
  <c r="N173" i="9" s="1"/>
  <c r="P145" i="9"/>
  <c r="Q145" i="9" s="1"/>
  <c r="R145" i="9" s="1"/>
  <c r="L192" i="9"/>
  <c r="M192" i="9" s="1"/>
  <c r="N192" i="9" s="1"/>
  <c r="L153" i="9"/>
  <c r="M153" i="9" s="1"/>
  <c r="N153" i="9" s="1"/>
  <c r="P176" i="9"/>
  <c r="Q176" i="9" s="1"/>
  <c r="R176" i="9" s="1"/>
  <c r="D178" i="9"/>
  <c r="E178" i="9" s="1"/>
  <c r="F178" i="9" s="1"/>
  <c r="D188" i="9"/>
  <c r="E188" i="9" s="1"/>
  <c r="F188" i="9" s="1"/>
  <c r="H181" i="9"/>
  <c r="I181" i="9" s="1"/>
  <c r="J181" i="9" s="1"/>
  <c r="D195" i="9"/>
  <c r="E195" i="9" s="1"/>
  <c r="F195" i="9" s="1"/>
  <c r="L174" i="9"/>
  <c r="M174" i="9" s="1"/>
  <c r="N174" i="9" s="1"/>
  <c r="D153" i="9"/>
  <c r="E153" i="9" s="1"/>
  <c r="F153" i="9" s="1"/>
  <c r="H146" i="9"/>
  <c r="I146" i="9" s="1"/>
  <c r="J146" i="9" s="1"/>
  <c r="D160" i="9"/>
  <c r="H145" i="9"/>
  <c r="I145" i="9" s="1"/>
  <c r="J145" i="9" s="1"/>
  <c r="L167" i="9"/>
  <c r="M167" i="9" s="1"/>
  <c r="N167" i="9" s="1"/>
  <c r="D159" i="9"/>
  <c r="E159" i="9" s="1"/>
  <c r="F159" i="9" s="1"/>
  <c r="H195" i="9"/>
  <c r="I195" i="9" s="1"/>
  <c r="J195" i="9" s="1"/>
  <c r="H160" i="9"/>
  <c r="I160" i="9" s="1"/>
  <c r="J160" i="9" s="1"/>
  <c r="L147" i="9"/>
  <c r="M147" i="9" s="1"/>
  <c r="N147" i="9" s="1"/>
  <c r="H193" i="9"/>
  <c r="I193" i="9" s="1"/>
  <c r="J193" i="9" s="1"/>
  <c r="L188" i="9"/>
  <c r="M188" i="9" s="1"/>
  <c r="N188" i="9" s="1"/>
  <c r="L146" i="9"/>
  <c r="M146" i="9" s="1"/>
  <c r="N146" i="9" s="1"/>
  <c r="D174" i="9"/>
  <c r="E174" i="9" s="1"/>
  <c r="F174" i="9" s="1"/>
  <c r="H190" i="9"/>
  <c r="I190" i="9" s="1"/>
  <c r="J190" i="9" s="1"/>
  <c r="H173" i="9"/>
  <c r="I173" i="9" s="1"/>
  <c r="J173" i="9" s="1"/>
  <c r="L181" i="9"/>
  <c r="M181" i="9" s="1"/>
  <c r="N181" i="9" s="1"/>
  <c r="L196" i="9"/>
  <c r="M196" i="9" s="1"/>
  <c r="N196" i="9" s="1"/>
  <c r="L197" i="9"/>
  <c r="M197" i="9" s="1"/>
  <c r="N197" i="9" s="1"/>
  <c r="L183" i="9"/>
  <c r="M183" i="9" s="1"/>
  <c r="N183" i="9" s="1"/>
  <c r="L169" i="9"/>
  <c r="M169" i="9" s="1"/>
  <c r="N169" i="9" s="1"/>
  <c r="L155" i="9"/>
  <c r="M155" i="9" s="1"/>
  <c r="N155" i="9" s="1"/>
  <c r="L194" i="9"/>
  <c r="M194" i="9" s="1"/>
  <c r="N194" i="9" s="1"/>
  <c r="L180" i="9"/>
  <c r="M180" i="9" s="1"/>
  <c r="N180" i="9" s="1"/>
  <c r="L166" i="9"/>
  <c r="M166" i="9" s="1"/>
  <c r="N166" i="9" s="1"/>
  <c r="L152" i="9"/>
  <c r="P155" i="9"/>
  <c r="Q155" i="9" s="1"/>
  <c r="R155" i="9" s="1"/>
  <c r="P169" i="9"/>
  <c r="Q169" i="9" s="1"/>
  <c r="R169" i="9" s="1"/>
  <c r="P183" i="9"/>
  <c r="Q183" i="9" s="1"/>
  <c r="R183" i="9" s="1"/>
  <c r="P197" i="9"/>
  <c r="Q197" i="9" s="1"/>
  <c r="R197" i="9" s="1"/>
  <c r="P189" i="9"/>
  <c r="Q189" i="9" s="1"/>
  <c r="R189" i="9" s="1"/>
  <c r="D198" i="9"/>
  <c r="E198" i="9" s="1"/>
  <c r="F198" i="9" s="1"/>
  <c r="D184" i="9"/>
  <c r="E184" i="9" s="1"/>
  <c r="F184" i="9" s="1"/>
  <c r="D170" i="9"/>
  <c r="E170" i="9" s="1"/>
  <c r="F170" i="9" s="1"/>
  <c r="D156" i="9"/>
  <c r="E156" i="9" s="1"/>
  <c r="F156" i="9" s="1"/>
  <c r="D142" i="9"/>
  <c r="E142" i="9" s="1"/>
  <c r="F142" i="9" s="1"/>
  <c r="P166" i="9"/>
  <c r="Q166" i="9" s="1"/>
  <c r="R166" i="9" s="1"/>
  <c r="P180" i="9"/>
  <c r="Q180" i="9" s="1"/>
  <c r="R180" i="9" s="1"/>
  <c r="P194" i="9"/>
  <c r="Q194" i="9" s="1"/>
  <c r="R194" i="9" s="1"/>
  <c r="D197" i="9"/>
  <c r="E197" i="9" s="1"/>
  <c r="F197" i="9" s="1"/>
  <c r="D183" i="9"/>
  <c r="E183" i="9" s="1"/>
  <c r="F183" i="9" s="1"/>
  <c r="D169" i="9"/>
  <c r="E169" i="9" s="1"/>
  <c r="F169" i="9" s="1"/>
  <c r="D155" i="9"/>
  <c r="E155" i="9" s="1"/>
  <c r="F155" i="9" s="1"/>
  <c r="P179" i="9"/>
  <c r="Q179" i="9" s="1"/>
  <c r="R179" i="9" s="1"/>
  <c r="P142" i="9"/>
  <c r="Q142" i="9" s="1"/>
  <c r="R142" i="9" s="1"/>
  <c r="P149" i="9"/>
  <c r="Q149" i="9" s="1"/>
  <c r="R149" i="9" s="1"/>
  <c r="P156" i="9"/>
  <c r="Q156" i="9" s="1"/>
  <c r="R156" i="9" s="1"/>
  <c r="P163" i="9"/>
  <c r="Q163" i="9" s="1"/>
  <c r="R163" i="9" s="1"/>
  <c r="P170" i="9"/>
  <c r="Q170" i="9" s="1"/>
  <c r="R170" i="9" s="1"/>
  <c r="P177" i="9"/>
  <c r="Q177" i="9" s="1"/>
  <c r="R177" i="9" s="1"/>
  <c r="P184" i="9"/>
  <c r="Q184" i="9" s="1"/>
  <c r="R184" i="9" s="1"/>
  <c r="P191" i="9"/>
  <c r="Q191" i="9" s="1"/>
  <c r="R191" i="9" s="1"/>
  <c r="P198" i="9"/>
  <c r="Q198" i="9" s="1"/>
  <c r="R198" i="9" s="1"/>
  <c r="L175" i="9"/>
  <c r="M175" i="9" s="1"/>
  <c r="N175" i="9" s="1"/>
  <c r="P153" i="9"/>
  <c r="Q153" i="9" s="1"/>
  <c r="R153" i="9" s="1"/>
  <c r="P167" i="9"/>
  <c r="Q167" i="9" s="1"/>
  <c r="R167" i="9" s="1"/>
  <c r="P181" i="9"/>
  <c r="Q181" i="9" s="1"/>
  <c r="R181" i="9" s="1"/>
  <c r="P195" i="9"/>
  <c r="Q195" i="9" s="1"/>
  <c r="R195" i="9" s="1"/>
  <c r="D165" i="9"/>
  <c r="E165" i="9" s="1"/>
  <c r="F165" i="9" s="1"/>
  <c r="E172" i="9"/>
  <c r="F172" i="9" s="1"/>
  <c r="M15" i="9"/>
  <c r="N15" i="9" s="1"/>
  <c r="E160" i="9"/>
  <c r="F160" i="9" s="1"/>
  <c r="E110" i="9"/>
  <c r="F110" i="9" s="1"/>
  <c r="E112" i="9"/>
  <c r="F112" i="9" s="1"/>
  <c r="E92" i="9"/>
  <c r="F92" i="9" s="1"/>
  <c r="M189" i="9"/>
  <c r="N189" i="9" s="1"/>
  <c r="Q82" i="9"/>
  <c r="R82" i="9" s="1"/>
  <c r="Q128" i="9"/>
  <c r="R128" i="9" s="1"/>
  <c r="Q90" i="9"/>
  <c r="R90" i="9" s="1"/>
  <c r="Q171" i="9"/>
  <c r="R171" i="9" s="1"/>
  <c r="Q161" i="9"/>
  <c r="R161" i="9" s="1"/>
  <c r="Q96" i="9"/>
  <c r="R96" i="9" s="1"/>
  <c r="Q86" i="9"/>
  <c r="R86" i="9" s="1"/>
  <c r="Q124" i="9"/>
  <c r="R124" i="9" s="1"/>
  <c r="Q121" i="9"/>
  <c r="R121" i="9" s="1"/>
  <c r="Q132" i="9"/>
  <c r="R132" i="9" s="1"/>
  <c r="Q84" i="9"/>
  <c r="R84" i="9" s="1"/>
  <c r="Q117" i="9"/>
  <c r="R117" i="9" s="1"/>
  <c r="Q152" i="9"/>
  <c r="R152" i="9" s="1"/>
  <c r="Q130" i="9"/>
  <c r="R130" i="9" s="1"/>
  <c r="Q154" i="9"/>
  <c r="R154" i="9" s="1"/>
  <c r="Q92" i="9"/>
  <c r="R92" i="9" s="1"/>
  <c r="M82" i="9"/>
  <c r="N82" i="9" s="1"/>
  <c r="M158" i="9"/>
  <c r="N158" i="9" s="1"/>
  <c r="M129" i="9"/>
  <c r="N129" i="9" s="1"/>
  <c r="M134" i="9"/>
  <c r="N134" i="9" s="1"/>
  <c r="M124" i="9"/>
  <c r="N124" i="9" s="1"/>
  <c r="M104" i="9"/>
  <c r="N104" i="9" s="1"/>
  <c r="M132" i="9"/>
  <c r="N132" i="9" s="1"/>
  <c r="M161" i="9"/>
  <c r="N161" i="9" s="1"/>
  <c r="M94" i="9"/>
  <c r="N94" i="9" s="1"/>
  <c r="M125" i="9"/>
  <c r="N125" i="9" s="1"/>
  <c r="M97" i="9"/>
  <c r="N97" i="9" s="1"/>
  <c r="M130" i="9"/>
  <c r="N130" i="9" s="1"/>
  <c r="M137" i="9"/>
  <c r="N137" i="9" s="1"/>
  <c r="M123" i="9"/>
  <c r="N123" i="9" s="1"/>
  <c r="M92" i="9"/>
  <c r="N92" i="9" s="1"/>
  <c r="M110" i="9"/>
  <c r="N110" i="9" s="1"/>
  <c r="I84" i="9"/>
  <c r="J84" i="9" s="1"/>
  <c r="I112" i="9"/>
  <c r="J112" i="9" s="1"/>
  <c r="I117" i="9"/>
  <c r="J117" i="9" s="1"/>
  <c r="I82" i="9"/>
  <c r="J82" i="9" s="1"/>
  <c r="I178" i="9"/>
  <c r="J178" i="9" s="1"/>
  <c r="I200" i="9"/>
  <c r="J200" i="9" s="1"/>
  <c r="I130" i="9"/>
  <c r="J130" i="9" s="1"/>
  <c r="I110" i="9"/>
  <c r="J110" i="9" s="1"/>
  <c r="I88" i="9"/>
  <c r="J88" i="9" s="1"/>
  <c r="I137" i="9"/>
  <c r="J137" i="9" s="1"/>
  <c r="I95" i="9"/>
  <c r="J95" i="9" s="1"/>
  <c r="I116" i="9"/>
  <c r="J116" i="9" s="1"/>
  <c r="I142" i="9"/>
  <c r="J142" i="9" s="1"/>
  <c r="I80" i="9"/>
  <c r="J80" i="9" s="1"/>
  <c r="I99" i="9"/>
  <c r="J99" i="9" s="1"/>
  <c r="I124" i="9"/>
  <c r="J124" i="9" s="1"/>
  <c r="E177" i="9"/>
  <c r="F177" i="9" s="1"/>
  <c r="E122" i="9"/>
  <c r="F122" i="9" s="1"/>
  <c r="E135" i="9"/>
  <c r="F135" i="9" s="1"/>
  <c r="E191" i="9"/>
  <c r="F191" i="9" s="1"/>
  <c r="E100" i="9"/>
  <c r="F100" i="9" s="1"/>
  <c r="E120" i="9"/>
  <c r="F120" i="9" s="1"/>
  <c r="E95" i="9"/>
  <c r="F95" i="9" s="1"/>
  <c r="E128" i="9"/>
  <c r="F128" i="9" s="1"/>
  <c r="E80" i="9"/>
  <c r="F80" i="9" s="1"/>
  <c r="E200" i="9"/>
  <c r="F200" i="9" s="1"/>
  <c r="E187" i="9"/>
  <c r="F187" i="9" s="1"/>
  <c r="I185" i="9"/>
  <c r="J185" i="9" s="1"/>
  <c r="E158" i="9"/>
  <c r="F158" i="9" s="1"/>
  <c r="M172" i="9"/>
  <c r="N172" i="9" s="1"/>
  <c r="Q185" i="9"/>
  <c r="R185" i="9" s="1"/>
  <c r="E78" i="9"/>
  <c r="F78" i="9" s="1"/>
  <c r="M80" i="9"/>
  <c r="N80" i="9" s="1"/>
  <c r="M90" i="9"/>
  <c r="N90" i="9" s="1"/>
  <c r="I93" i="9"/>
  <c r="J93" i="9" s="1"/>
  <c r="I131" i="9"/>
  <c r="J131" i="9" s="1"/>
  <c r="Q133" i="9"/>
  <c r="R133" i="9" s="1"/>
  <c r="Q148" i="9"/>
  <c r="R148" i="9" s="1"/>
  <c r="I158" i="9"/>
  <c r="J158" i="9" s="1"/>
  <c r="M78" i="9"/>
  <c r="N78" i="9" s="1"/>
  <c r="E86" i="9"/>
  <c r="F86" i="9" s="1"/>
  <c r="Q98" i="9"/>
  <c r="R98" i="9" s="1"/>
  <c r="M103" i="9"/>
  <c r="N103" i="9" s="1"/>
  <c r="M111" i="9"/>
  <c r="N111" i="9" s="1"/>
  <c r="E114" i="9"/>
  <c r="F114" i="9" s="1"/>
  <c r="M116" i="9"/>
  <c r="N116" i="9" s="1"/>
  <c r="E121" i="9"/>
  <c r="F121" i="9" s="1"/>
  <c r="I126" i="9"/>
  <c r="J126" i="9" s="1"/>
  <c r="Q141" i="9"/>
  <c r="R141" i="9" s="1"/>
  <c r="I156" i="9"/>
  <c r="J156" i="9" s="1"/>
  <c r="I186" i="9"/>
  <c r="J186" i="9" s="1"/>
  <c r="I199" i="9"/>
  <c r="J199" i="9" s="1"/>
  <c r="I144" i="9"/>
  <c r="J144" i="9" s="1"/>
  <c r="Q146" i="9"/>
  <c r="R146" i="9" s="1"/>
  <c r="M151" i="9"/>
  <c r="N151" i="9" s="1"/>
  <c r="M186" i="9"/>
  <c r="N186" i="9" s="1"/>
  <c r="E194" i="9"/>
  <c r="F194" i="9" s="1"/>
  <c r="M88" i="9"/>
  <c r="N88" i="9" s="1"/>
  <c r="E91" i="9"/>
  <c r="F91" i="9" s="1"/>
  <c r="I96" i="9"/>
  <c r="J96" i="9" s="1"/>
  <c r="M106" i="9"/>
  <c r="N106" i="9" s="1"/>
  <c r="I86" i="9"/>
  <c r="J86" i="9" s="1"/>
  <c r="Q88" i="9"/>
  <c r="R88" i="9" s="1"/>
  <c r="M96" i="9"/>
  <c r="N96" i="9" s="1"/>
  <c r="M114" i="9"/>
  <c r="N114" i="9" s="1"/>
  <c r="I129" i="9"/>
  <c r="J129" i="9" s="1"/>
  <c r="M144" i="9"/>
  <c r="N144" i="9" s="1"/>
  <c r="E161" i="9"/>
  <c r="F161" i="9" s="1"/>
  <c r="I171" i="9"/>
  <c r="J171" i="9" s="1"/>
  <c r="M171" i="9"/>
  <c r="N171" i="9" s="1"/>
  <c r="E181" i="9"/>
  <c r="F181" i="9" s="1"/>
  <c r="I191" i="9"/>
  <c r="J191" i="9" s="1"/>
  <c r="M193" i="9"/>
  <c r="N193" i="9" s="1"/>
  <c r="M84" i="9"/>
  <c r="N84" i="9" s="1"/>
  <c r="M86" i="9"/>
  <c r="N86" i="9" s="1"/>
  <c r="E97" i="9"/>
  <c r="F97" i="9" s="1"/>
  <c r="Q101" i="9"/>
  <c r="R101" i="9" s="1"/>
  <c r="Q103" i="9"/>
  <c r="R103" i="9" s="1"/>
  <c r="Q125" i="9"/>
  <c r="R125" i="9" s="1"/>
  <c r="Q127" i="9"/>
  <c r="R127" i="9" s="1"/>
  <c r="M131" i="9"/>
  <c r="N131" i="9" s="1"/>
  <c r="I133" i="9"/>
  <c r="J133" i="9" s="1"/>
  <c r="M142" i="9"/>
  <c r="N142" i="9" s="1"/>
  <c r="I148" i="9"/>
  <c r="J148" i="9" s="1"/>
  <c r="M156" i="9"/>
  <c r="N156" i="9" s="1"/>
  <c r="M191" i="9"/>
  <c r="N191" i="9" s="1"/>
  <c r="Q193" i="9"/>
  <c r="R193" i="9" s="1"/>
  <c r="I78" i="9"/>
  <c r="J78" i="9" s="1"/>
  <c r="E93" i="9"/>
  <c r="F93" i="9" s="1"/>
  <c r="I97" i="9"/>
  <c r="J97" i="9" s="1"/>
  <c r="Q99" i="9"/>
  <c r="R99" i="9" s="1"/>
  <c r="E124" i="9"/>
  <c r="F124" i="9" s="1"/>
  <c r="M133" i="9"/>
  <c r="N133" i="9" s="1"/>
  <c r="M135" i="9"/>
  <c r="N135" i="9" s="1"/>
  <c r="E162" i="9"/>
  <c r="F162" i="9" s="1"/>
  <c r="M185" i="9"/>
  <c r="N185" i="9" s="1"/>
  <c r="E89" i="9"/>
  <c r="F89" i="9" s="1"/>
  <c r="M95" i="9"/>
  <c r="N95" i="9" s="1"/>
  <c r="E151" i="9"/>
  <c r="F151" i="9" s="1"/>
  <c r="E157" i="9"/>
  <c r="F157" i="9" s="1"/>
  <c r="Q158" i="9"/>
  <c r="R158" i="9" s="1"/>
  <c r="I91" i="9"/>
  <c r="J91" i="9" s="1"/>
  <c r="M93" i="9"/>
  <c r="N93" i="9" s="1"/>
  <c r="Q97" i="9"/>
  <c r="R97" i="9" s="1"/>
  <c r="E143" i="9"/>
  <c r="F143" i="9" s="1"/>
  <c r="E85" i="9"/>
  <c r="F85" i="9" s="1"/>
  <c r="E87" i="9"/>
  <c r="F87" i="9" s="1"/>
  <c r="I89" i="9"/>
  <c r="J89" i="9" s="1"/>
  <c r="M91" i="9"/>
  <c r="N91" i="9" s="1"/>
  <c r="Q93" i="9"/>
  <c r="R93" i="9" s="1"/>
  <c r="Q95" i="9"/>
  <c r="R95" i="9" s="1"/>
  <c r="E141" i="9"/>
  <c r="F141" i="9" s="1"/>
  <c r="E180" i="9"/>
  <c r="F180" i="9" s="1"/>
  <c r="E186" i="9"/>
  <c r="F186" i="9" s="1"/>
  <c r="I196" i="9"/>
  <c r="J196" i="9" s="1"/>
  <c r="I198" i="9"/>
  <c r="J198" i="9" s="1"/>
  <c r="Q200" i="9"/>
  <c r="R200" i="9" s="1"/>
  <c r="Q173" i="9"/>
  <c r="R173" i="9" s="1"/>
  <c r="E190" i="9"/>
  <c r="F190" i="9" s="1"/>
  <c r="M198" i="9"/>
  <c r="N198" i="9" s="1"/>
  <c r="Q78" i="9"/>
  <c r="R78" i="9" s="1"/>
  <c r="Q80" i="9"/>
  <c r="R80" i="9" s="1"/>
  <c r="E83" i="9"/>
  <c r="F83" i="9" s="1"/>
  <c r="I85" i="9"/>
  <c r="J85" i="9" s="1"/>
  <c r="I87" i="9"/>
  <c r="J87" i="9" s="1"/>
  <c r="M89" i="9"/>
  <c r="N89" i="9" s="1"/>
  <c r="Q91" i="9"/>
  <c r="R91" i="9" s="1"/>
  <c r="E98" i="9"/>
  <c r="F98" i="9" s="1"/>
  <c r="I102" i="9"/>
  <c r="J102" i="9" s="1"/>
  <c r="M120" i="9"/>
  <c r="N120" i="9" s="1"/>
  <c r="I128" i="9"/>
  <c r="J128" i="9" s="1"/>
  <c r="I141" i="9"/>
  <c r="J141" i="9" s="1"/>
  <c r="I143" i="9"/>
  <c r="J143" i="9" s="1"/>
  <c r="I157" i="9"/>
  <c r="J157" i="9" s="1"/>
  <c r="I83" i="9"/>
  <c r="J83" i="9" s="1"/>
  <c r="M85" i="9"/>
  <c r="N85" i="9" s="1"/>
  <c r="M87" i="9"/>
  <c r="N87" i="9" s="1"/>
  <c r="Q89" i="9"/>
  <c r="R89" i="9" s="1"/>
  <c r="E96" i="9"/>
  <c r="F96" i="9" s="1"/>
  <c r="E115" i="9"/>
  <c r="F115" i="9" s="1"/>
  <c r="M126" i="9"/>
  <c r="N126" i="9" s="1"/>
  <c r="M128" i="9"/>
  <c r="N128" i="9" s="1"/>
  <c r="I132" i="9"/>
  <c r="J132" i="9" s="1"/>
  <c r="M143" i="9"/>
  <c r="N143" i="9" s="1"/>
  <c r="E147" i="9"/>
  <c r="F147" i="9" s="1"/>
  <c r="I149" i="9"/>
  <c r="J149" i="9" s="1"/>
  <c r="M157" i="9"/>
  <c r="N157" i="9" s="1"/>
  <c r="I170" i="9"/>
  <c r="J170" i="9" s="1"/>
  <c r="Q175" i="9"/>
  <c r="R175" i="9" s="1"/>
  <c r="E182" i="9"/>
  <c r="F182" i="9" s="1"/>
  <c r="E81" i="9"/>
  <c r="F81" i="9" s="1"/>
  <c r="Q85" i="9"/>
  <c r="R85" i="9" s="1"/>
  <c r="I98" i="9"/>
  <c r="J98" i="9" s="1"/>
  <c r="E111" i="9"/>
  <c r="F111" i="9" s="1"/>
  <c r="I147" i="9"/>
  <c r="J147" i="9" s="1"/>
  <c r="Q157" i="9"/>
  <c r="R157" i="9" s="1"/>
  <c r="M170" i="9"/>
  <c r="N170" i="9" s="1"/>
  <c r="I172" i="9"/>
  <c r="J172" i="9" s="1"/>
  <c r="I79" i="9"/>
  <c r="J79" i="9" s="1"/>
  <c r="I81" i="9"/>
  <c r="J81" i="9" s="1"/>
  <c r="Q83" i="9"/>
  <c r="R83" i="9" s="1"/>
  <c r="M98" i="9"/>
  <c r="N98" i="9" s="1"/>
  <c r="I111" i="9"/>
  <c r="J111" i="9" s="1"/>
  <c r="I163" i="9"/>
  <c r="J163" i="9" s="1"/>
  <c r="I184" i="9"/>
  <c r="J184" i="9" s="1"/>
  <c r="E199" i="9"/>
  <c r="F199" i="9" s="1"/>
  <c r="E79" i="9"/>
  <c r="F79" i="9" s="1"/>
  <c r="M79" i="9"/>
  <c r="N79" i="9" s="1"/>
  <c r="E88" i="9"/>
  <c r="F88" i="9" s="1"/>
  <c r="I94" i="9"/>
  <c r="J94" i="9" s="1"/>
  <c r="Q102" i="9"/>
  <c r="R102" i="9" s="1"/>
  <c r="M184" i="9"/>
  <c r="N184" i="9" s="1"/>
  <c r="Q79" i="9"/>
  <c r="R79" i="9" s="1"/>
  <c r="Q81" i="9"/>
  <c r="R81" i="9" s="1"/>
  <c r="E84" i="9"/>
  <c r="F84" i="9" s="1"/>
  <c r="I90" i="9"/>
  <c r="J90" i="9" s="1"/>
  <c r="E105" i="9"/>
  <c r="F105" i="9" s="1"/>
  <c r="I123" i="9"/>
  <c r="J123" i="9" s="1"/>
  <c r="E125" i="9"/>
  <c r="F125" i="9" s="1"/>
  <c r="E129" i="9"/>
  <c r="F129" i="9" s="1"/>
  <c r="Q134" i="9"/>
  <c r="R134" i="9" s="1"/>
  <c r="E171" i="9"/>
  <c r="F171" i="9" s="1"/>
  <c r="M176" i="9"/>
  <c r="N176" i="9" s="1"/>
  <c r="E193" i="9"/>
  <c r="F193" i="9" s="1"/>
  <c r="M83" i="9"/>
  <c r="N83" i="9" s="1"/>
  <c r="E94" i="9"/>
  <c r="F94" i="9" s="1"/>
  <c r="M100" i="9"/>
  <c r="N100" i="9" s="1"/>
  <c r="Q122" i="9"/>
  <c r="R122" i="9" s="1"/>
  <c r="Q143" i="9"/>
  <c r="R143" i="9" s="1"/>
  <c r="Q151" i="9"/>
  <c r="R151" i="9" s="1"/>
  <c r="E90" i="9"/>
  <c r="F90" i="9" s="1"/>
  <c r="M113" i="9"/>
  <c r="N113" i="9" s="1"/>
  <c r="E123" i="9"/>
  <c r="F123" i="9" s="1"/>
  <c r="Q190" i="9"/>
  <c r="R190" i="9" s="1"/>
  <c r="Q109" i="9"/>
  <c r="R109" i="9" s="1"/>
  <c r="Q111" i="9"/>
  <c r="R111" i="9" s="1"/>
  <c r="M117" i="9"/>
  <c r="N117" i="9" s="1"/>
  <c r="I119" i="9"/>
  <c r="J119" i="9" s="1"/>
  <c r="I121" i="9"/>
  <c r="J121" i="9" s="1"/>
  <c r="I125" i="9"/>
  <c r="J125" i="9" s="1"/>
  <c r="E127" i="9"/>
  <c r="F127" i="9" s="1"/>
  <c r="Q147" i="9"/>
  <c r="R147" i="9" s="1"/>
  <c r="E154" i="9"/>
  <c r="F154" i="9" s="1"/>
  <c r="Q165" i="9"/>
  <c r="R165" i="9" s="1"/>
  <c r="Q172" i="9"/>
  <c r="R172" i="9" s="1"/>
  <c r="M199" i="9"/>
  <c r="N199" i="9" s="1"/>
  <c r="Q87" i="9"/>
  <c r="R87" i="9" s="1"/>
  <c r="M102" i="9"/>
  <c r="N102" i="9" s="1"/>
  <c r="E113" i="9"/>
  <c r="F113" i="9" s="1"/>
  <c r="Q120" i="9"/>
  <c r="R120" i="9" s="1"/>
  <c r="M81" i="9"/>
  <c r="N81" i="9" s="1"/>
  <c r="I92" i="9"/>
  <c r="J92" i="9" s="1"/>
  <c r="I109" i="9"/>
  <c r="J109" i="9" s="1"/>
  <c r="E167" i="9"/>
  <c r="F167" i="9" s="1"/>
  <c r="M178" i="9"/>
  <c r="N178" i="9" s="1"/>
  <c r="Q186" i="9"/>
  <c r="R186" i="9" s="1"/>
  <c r="E82" i="9"/>
  <c r="F82" i="9" s="1"/>
  <c r="Q94" i="9"/>
  <c r="R94" i="9" s="1"/>
  <c r="E99" i="9"/>
  <c r="F99" i="9" s="1"/>
  <c r="M119" i="9"/>
  <c r="N119" i="9" s="1"/>
  <c r="E137" i="9"/>
  <c r="F137" i="9" s="1"/>
  <c r="I154" i="9"/>
  <c r="J154" i="9" s="1"/>
  <c r="E179" i="9"/>
  <c r="F179" i="9" s="1"/>
  <c r="E185" i="9"/>
  <c r="F185" i="9" s="1"/>
  <c r="E189" i="9"/>
  <c r="F189" i="9" s="1"/>
  <c r="Q199" i="9"/>
  <c r="R199" i="9" s="1"/>
  <c r="E23" i="9"/>
  <c r="F23" i="9" s="1"/>
  <c r="E26" i="9"/>
  <c r="F26" i="9" s="1"/>
  <c r="Q62" i="9"/>
  <c r="R62" i="9" s="1"/>
  <c r="E72" i="9"/>
  <c r="F72" i="9" s="1"/>
  <c r="E20" i="9"/>
  <c r="F20" i="9" s="1"/>
  <c r="M47" i="9"/>
  <c r="N47" i="9" s="1"/>
  <c r="Q50" i="9"/>
  <c r="R50" i="9" s="1"/>
  <c r="M44" i="9"/>
  <c r="N44" i="9" s="1"/>
  <c r="M32" i="9"/>
  <c r="N32" i="9" s="1"/>
  <c r="Q71" i="9"/>
  <c r="R71" i="9" s="1"/>
  <c r="Q44" i="9"/>
  <c r="R44" i="9" s="1"/>
  <c r="Q29" i="9"/>
  <c r="R29" i="9" s="1"/>
  <c r="E54" i="9"/>
  <c r="F54" i="9" s="1"/>
  <c r="E70" i="9"/>
  <c r="F70" i="9" s="1"/>
  <c r="E60" i="9"/>
  <c r="F60" i="9" s="1"/>
  <c r="E32" i="9"/>
  <c r="F32" i="9" s="1"/>
  <c r="E15" i="9"/>
  <c r="F15" i="9" s="1"/>
  <c r="E39" i="9"/>
  <c r="F39" i="9" s="1"/>
  <c r="E24" i="9"/>
  <c r="F24" i="9" s="1"/>
  <c r="I60" i="9"/>
  <c r="J60" i="9" s="1"/>
  <c r="M36" i="9"/>
  <c r="N36" i="9" s="1"/>
  <c r="M51" i="9"/>
  <c r="N51" i="9" s="1"/>
  <c r="M57" i="9"/>
  <c r="N57" i="9" s="1"/>
  <c r="M60" i="9"/>
  <c r="N60" i="9" s="1"/>
  <c r="M66" i="9"/>
  <c r="N66" i="9" s="1"/>
  <c r="Q72" i="9"/>
  <c r="R72" i="9" s="1"/>
  <c r="M65" i="9"/>
  <c r="N65" i="9" s="1"/>
  <c r="Q35" i="9"/>
  <c r="R35" i="9" s="1"/>
  <c r="E36" i="9"/>
  <c r="F36" i="9" s="1"/>
  <c r="M23" i="9"/>
  <c r="N23" i="9" s="1"/>
  <c r="I45" i="9"/>
  <c r="J45" i="9" s="1"/>
  <c r="I66" i="9"/>
  <c r="J66" i="9" s="1"/>
  <c r="Q23" i="9"/>
  <c r="R23" i="9" s="1"/>
  <c r="M63" i="9"/>
  <c r="N63" i="9" s="1"/>
  <c r="M21" i="9"/>
  <c r="N21" i="9" s="1"/>
  <c r="I18" i="9"/>
  <c r="J18" i="9" s="1"/>
  <c r="E21" i="9"/>
  <c r="F21" i="9" s="1"/>
  <c r="I27" i="9"/>
  <c r="J27" i="9" s="1"/>
  <c r="M30" i="9"/>
  <c r="N30" i="9" s="1"/>
  <c r="M39" i="9"/>
  <c r="N39" i="9" s="1"/>
  <c r="M42" i="9"/>
  <c r="N42" i="9" s="1"/>
  <c r="M45" i="9"/>
  <c r="N45" i="9" s="1"/>
  <c r="Q48" i="9"/>
  <c r="R48" i="9" s="1"/>
  <c r="Q63" i="9"/>
  <c r="R63" i="9" s="1"/>
  <c r="Q69" i="9"/>
  <c r="R69" i="9" s="1"/>
  <c r="I23" i="9"/>
  <c r="J23" i="9" s="1"/>
  <c r="E42" i="9"/>
  <c r="F42" i="9" s="1"/>
  <c r="I48" i="9"/>
  <c r="J48" i="9" s="1"/>
  <c r="M72" i="9"/>
  <c r="N72" i="9" s="1"/>
  <c r="M18" i="9"/>
  <c r="N18" i="9" s="1"/>
  <c r="I21" i="9"/>
  <c r="J21" i="9" s="1"/>
  <c r="I24" i="9"/>
  <c r="J24" i="9" s="1"/>
  <c r="M27" i="9"/>
  <c r="N27" i="9" s="1"/>
  <c r="Q30" i="9"/>
  <c r="R30" i="9" s="1"/>
  <c r="Q33" i="9"/>
  <c r="R33" i="9" s="1"/>
  <c r="Q36" i="9"/>
  <c r="R36" i="9" s="1"/>
  <c r="Q42" i="9"/>
  <c r="R42" i="9" s="1"/>
  <c r="Q45" i="9"/>
  <c r="R45" i="9" s="1"/>
  <c r="Q51" i="9"/>
  <c r="R51" i="9" s="1"/>
  <c r="Q54" i="9"/>
  <c r="R54" i="9" s="1"/>
  <c r="Q57" i="9"/>
  <c r="R57" i="9" s="1"/>
  <c r="E61" i="9"/>
  <c r="F61" i="9" s="1"/>
  <c r="I73" i="9"/>
  <c r="J73" i="9" s="1"/>
  <c r="M17" i="9"/>
  <c r="N17" i="9" s="1"/>
  <c r="Q56" i="9"/>
  <c r="R56" i="9" s="1"/>
  <c r="E48" i="9"/>
  <c r="F48" i="9" s="1"/>
  <c r="I39" i="9"/>
  <c r="J39" i="9" s="1"/>
  <c r="I54" i="9"/>
  <c r="J54" i="9" s="1"/>
  <c r="E27" i="9"/>
  <c r="F27" i="9" s="1"/>
  <c r="Q17" i="9"/>
  <c r="R17" i="9" s="1"/>
  <c r="M24" i="9"/>
  <c r="N24" i="9" s="1"/>
  <c r="E31" i="9"/>
  <c r="F31" i="9" s="1"/>
  <c r="E34" i="9"/>
  <c r="F34" i="9" s="1"/>
  <c r="E37" i="9"/>
  <c r="F37" i="9" s="1"/>
  <c r="E43" i="9"/>
  <c r="F43" i="9" s="1"/>
  <c r="E46" i="9"/>
  <c r="F46" i="9" s="1"/>
  <c r="E49" i="9"/>
  <c r="F49" i="9" s="1"/>
  <c r="E55" i="9"/>
  <c r="F55" i="9" s="1"/>
  <c r="E58" i="9"/>
  <c r="F58" i="9" s="1"/>
  <c r="E64" i="9"/>
  <c r="F64" i="9" s="1"/>
  <c r="E67" i="9"/>
  <c r="F67" i="9" s="1"/>
  <c r="M68" i="9"/>
  <c r="N68" i="9" s="1"/>
  <c r="Q41" i="9"/>
  <c r="R41" i="9" s="1"/>
  <c r="M26" i="9"/>
  <c r="N26" i="9" s="1"/>
  <c r="E69" i="9"/>
  <c r="F69" i="9" s="1"/>
  <c r="I33" i="9"/>
  <c r="J33" i="9" s="1"/>
  <c r="I69" i="9"/>
  <c r="J69" i="9" s="1"/>
  <c r="Q27" i="9"/>
  <c r="R27" i="9" s="1"/>
  <c r="I31" i="9"/>
  <c r="J31" i="9" s="1"/>
  <c r="I34" i="9"/>
  <c r="J34" i="9" s="1"/>
  <c r="I37" i="9"/>
  <c r="J37" i="9" s="1"/>
  <c r="E40" i="9"/>
  <c r="F40" i="9" s="1"/>
  <c r="I49" i="9"/>
  <c r="J49" i="9" s="1"/>
  <c r="I55" i="9"/>
  <c r="J55" i="9" s="1"/>
  <c r="I58" i="9"/>
  <c r="J58" i="9" s="1"/>
  <c r="I61" i="9"/>
  <c r="J61" i="9" s="1"/>
  <c r="I67" i="9"/>
  <c r="J67" i="9" s="1"/>
  <c r="I70" i="9"/>
  <c r="J70" i="9" s="1"/>
  <c r="M73" i="9"/>
  <c r="N73" i="9" s="1"/>
  <c r="M56" i="9"/>
  <c r="N56" i="9" s="1"/>
  <c r="I20" i="9"/>
  <c r="J20" i="9" s="1"/>
  <c r="Q59" i="9"/>
  <c r="R59" i="9" s="1"/>
  <c r="M29" i="9"/>
  <c r="N29" i="9" s="1"/>
  <c r="Q68" i="9"/>
  <c r="R68" i="9" s="1"/>
  <c r="M20" i="9"/>
  <c r="N20" i="9" s="1"/>
  <c r="E30" i="9"/>
  <c r="F30" i="9" s="1"/>
  <c r="Q24" i="9"/>
  <c r="R24" i="9" s="1"/>
  <c r="I40" i="9"/>
  <c r="J40" i="9" s="1"/>
  <c r="M49" i="9"/>
  <c r="N49" i="9" s="1"/>
  <c r="M70" i="9"/>
  <c r="N70" i="9" s="1"/>
  <c r="M16" i="9"/>
  <c r="N16" i="9" s="1"/>
  <c r="I19" i="9"/>
  <c r="J19" i="9" s="1"/>
  <c r="E22" i="9"/>
  <c r="F22" i="9" s="1"/>
  <c r="I25" i="9"/>
  <c r="J25" i="9" s="1"/>
  <c r="I28" i="9"/>
  <c r="J28" i="9" s="1"/>
  <c r="Q31" i="9"/>
  <c r="R31" i="9" s="1"/>
  <c r="Q34" i="9"/>
  <c r="R34" i="9" s="1"/>
  <c r="Q37" i="9"/>
  <c r="R37" i="9" s="1"/>
  <c r="M40" i="9"/>
  <c r="N40" i="9" s="1"/>
  <c r="M43" i="9"/>
  <c r="N43" i="9" s="1"/>
  <c r="M46" i="9"/>
  <c r="N46" i="9" s="1"/>
  <c r="Q49" i="9"/>
  <c r="R49" i="9" s="1"/>
  <c r="M52" i="9"/>
  <c r="N52" i="9" s="1"/>
  <c r="M58" i="9"/>
  <c r="N58" i="9" s="1"/>
  <c r="Q61" i="9"/>
  <c r="R61" i="9" s="1"/>
  <c r="M64" i="9"/>
  <c r="N64" i="9" s="1"/>
  <c r="Q70" i="9"/>
  <c r="R70" i="9" s="1"/>
  <c r="E74" i="9"/>
  <c r="F74" i="9" s="1"/>
  <c r="M59" i="9"/>
  <c r="N59" i="9" s="1"/>
  <c r="Q32" i="9"/>
  <c r="R32" i="9" s="1"/>
  <c r="E57" i="9"/>
  <c r="F57" i="9" s="1"/>
  <c r="Q16" i="9"/>
  <c r="R16" i="9" s="1"/>
  <c r="Q15" i="9"/>
  <c r="R15" i="9" s="1"/>
  <c r="Q20" i="9"/>
  <c r="R20" i="9" s="1"/>
  <c r="I72" i="9"/>
  <c r="J72" i="9" s="1"/>
  <c r="E16" i="9"/>
  <c r="F16" i="9" s="1"/>
  <c r="E19" i="9"/>
  <c r="F19" i="9" s="1"/>
  <c r="M31" i="9"/>
  <c r="N31" i="9" s="1"/>
  <c r="Q73" i="9"/>
  <c r="R73" i="9" s="1"/>
  <c r="M19" i="9"/>
  <c r="N19" i="9" s="1"/>
  <c r="I22" i="9"/>
  <c r="J22" i="9" s="1"/>
  <c r="M25" i="9"/>
  <c r="N25" i="9" s="1"/>
  <c r="M28" i="9"/>
  <c r="N28" i="9" s="1"/>
  <c r="E35" i="9"/>
  <c r="F35" i="9" s="1"/>
  <c r="Q40" i="9"/>
  <c r="R40" i="9" s="1"/>
  <c r="Q43" i="9"/>
  <c r="R43" i="9" s="1"/>
  <c r="E50" i="9"/>
  <c r="F50" i="9" s="1"/>
  <c r="Q52" i="9"/>
  <c r="R52" i="9" s="1"/>
  <c r="Q55" i="9"/>
  <c r="R55" i="9" s="1"/>
  <c r="Q58" i="9"/>
  <c r="R58" i="9" s="1"/>
  <c r="E62" i="9"/>
  <c r="F62" i="9" s="1"/>
  <c r="Q64" i="9"/>
  <c r="R64" i="9" s="1"/>
  <c r="E71" i="9"/>
  <c r="F71" i="9" s="1"/>
  <c r="I74" i="9"/>
  <c r="J74" i="9" s="1"/>
  <c r="I29" i="9"/>
  <c r="J29" i="9" s="1"/>
  <c r="I51" i="9"/>
  <c r="J51" i="9" s="1"/>
  <c r="I17" i="9"/>
  <c r="J17" i="9" s="1"/>
  <c r="E63" i="9"/>
  <c r="F63" i="9" s="1"/>
  <c r="I36" i="9"/>
  <c r="J36" i="9" s="1"/>
  <c r="Q21" i="9"/>
  <c r="R21" i="9" s="1"/>
  <c r="E25" i="9"/>
  <c r="F25" i="9" s="1"/>
  <c r="M37" i="9"/>
  <c r="N37" i="9" s="1"/>
  <c r="I52" i="9"/>
  <c r="J52" i="9" s="1"/>
  <c r="M67" i="9"/>
  <c r="N67" i="9" s="1"/>
  <c r="Q19" i="9"/>
  <c r="R19" i="9" s="1"/>
  <c r="M22" i="9"/>
  <c r="N22" i="9" s="1"/>
  <c r="Q25" i="9"/>
  <c r="R25" i="9" s="1"/>
  <c r="Q28" i="9"/>
  <c r="R28" i="9" s="1"/>
  <c r="I32" i="9"/>
  <c r="J32" i="9" s="1"/>
  <c r="I35" i="9"/>
  <c r="J35" i="9" s="1"/>
  <c r="I38" i="9"/>
  <c r="J38" i="9" s="1"/>
  <c r="E41" i="9"/>
  <c r="F41" i="9" s="1"/>
  <c r="E44" i="9"/>
  <c r="F44" i="9" s="1"/>
  <c r="E47" i="9"/>
  <c r="F47" i="9" s="1"/>
  <c r="E53" i="9"/>
  <c r="F53" i="9" s="1"/>
  <c r="E56" i="9"/>
  <c r="F56" i="9" s="1"/>
  <c r="I62" i="9"/>
  <c r="J62" i="9" s="1"/>
  <c r="E65" i="9"/>
  <c r="F65" i="9" s="1"/>
  <c r="E68" i="9"/>
  <c r="F68" i="9" s="1"/>
  <c r="M53" i="9"/>
  <c r="N53" i="9" s="1"/>
  <c r="I26" i="9"/>
  <c r="J26" i="9" s="1"/>
  <c r="Q65" i="9"/>
  <c r="R65" i="9" s="1"/>
  <c r="E33" i="9"/>
  <c r="F33" i="9" s="1"/>
  <c r="Q26" i="9"/>
  <c r="R26" i="9" s="1"/>
  <c r="E18" i="9"/>
  <c r="F18" i="9" s="1"/>
  <c r="I16" i="9"/>
  <c r="J16" i="9" s="1"/>
  <c r="E28" i="9"/>
  <c r="F28" i="9" s="1"/>
  <c r="M34" i="9"/>
  <c r="N34" i="9" s="1"/>
  <c r="I46" i="9"/>
  <c r="J46" i="9" s="1"/>
  <c r="M61" i="9"/>
  <c r="N61" i="9" s="1"/>
  <c r="E17" i="9"/>
  <c r="F17" i="9" s="1"/>
  <c r="Q22" i="9"/>
  <c r="R22" i="9" s="1"/>
  <c r="E29" i="9"/>
  <c r="F29" i="9" s="1"/>
  <c r="M35" i="9"/>
  <c r="N35" i="9" s="1"/>
  <c r="M38" i="9"/>
  <c r="N38" i="9" s="1"/>
  <c r="I41" i="9"/>
  <c r="J41" i="9" s="1"/>
  <c r="I44" i="9"/>
  <c r="J44" i="9" s="1"/>
  <c r="I47" i="9"/>
  <c r="J47" i="9" s="1"/>
  <c r="M50" i="9"/>
  <c r="N50" i="9" s="1"/>
  <c r="I53" i="9"/>
  <c r="J53" i="9" s="1"/>
  <c r="I56" i="9"/>
  <c r="J56" i="9" s="1"/>
  <c r="I59" i="9"/>
  <c r="J59" i="9" s="1"/>
  <c r="I65" i="9"/>
  <c r="J65" i="9" s="1"/>
  <c r="I68" i="9"/>
  <c r="J68" i="9" s="1"/>
  <c r="M71" i="9"/>
  <c r="N71" i="9" s="1"/>
  <c r="Q53" i="9"/>
  <c r="R53" i="9" s="1"/>
  <c r="I15" i="9"/>
  <c r="J15" i="9" s="1"/>
  <c r="E45" i="9"/>
  <c r="F45" i="9" s="1"/>
  <c r="I57" i="9"/>
  <c r="J57" i="9" s="1"/>
  <c r="M69" i="9"/>
  <c r="N69" i="9" s="1"/>
  <c r="M62" i="9"/>
  <c r="N62" i="9" s="1"/>
  <c r="I50" i="9"/>
  <c r="J50" i="9" s="1"/>
  <c r="E66" i="9"/>
  <c r="F66" i="9" s="1"/>
  <c r="M48" i="9"/>
  <c r="N48" i="9" s="1"/>
  <c r="Q60" i="9"/>
  <c r="R60" i="9" s="1"/>
  <c r="E73" i="9"/>
  <c r="F73" i="9" s="1"/>
  <c r="I71" i="9"/>
  <c r="J71" i="9" s="1"/>
  <c r="E38" i="9"/>
  <c r="F38" i="9" s="1"/>
  <c r="M33" i="9"/>
  <c r="N33" i="9" s="1"/>
  <c r="I42" i="9"/>
  <c r="J42" i="9" s="1"/>
  <c r="M41" i="9"/>
  <c r="N41" i="9" s="1"/>
  <c r="Q39" i="9"/>
  <c r="R39" i="9" s="1"/>
  <c r="E52" i="9"/>
  <c r="F52" i="9" s="1"/>
  <c r="I64" i="9"/>
  <c r="J64" i="9" s="1"/>
  <c r="Q66" i="9"/>
  <c r="R66" i="9" s="1"/>
  <c r="E59" i="9"/>
  <c r="F59" i="9" s="1"/>
  <c r="Q18" i="9"/>
  <c r="R18" i="9" s="1"/>
  <c r="I30" i="9"/>
  <c r="J30" i="9" s="1"/>
  <c r="Q38" i="9"/>
  <c r="R38" i="9" s="1"/>
  <c r="I43" i="9"/>
  <c r="J43" i="9" s="1"/>
  <c r="Q47" i="9"/>
  <c r="R47" i="9" s="1"/>
  <c r="E51" i="9"/>
  <c r="F51" i="9" s="1"/>
  <c r="M55" i="9"/>
  <c r="N55" i="9" s="1"/>
  <c r="I63" i="9"/>
  <c r="J63" i="9" s="1"/>
  <c r="Q67" i="9"/>
  <c r="R67" i="9" s="1"/>
  <c r="M74" i="9"/>
  <c r="N74" i="9" s="1"/>
  <c r="Q46" i="9"/>
  <c r="R46" i="9" s="1"/>
  <c r="M54" i="9"/>
  <c r="N54" i="9" s="1"/>
  <c r="Q74" i="9"/>
  <c r="R74" i="9" s="1"/>
  <c r="P23" i="8"/>
  <c r="Q23" i="8" s="1"/>
  <c r="L18" i="8"/>
  <c r="M18" i="8" s="1"/>
  <c r="L31" i="8"/>
  <c r="M31" i="8" s="1"/>
  <c r="H48" i="8"/>
  <c r="I48" i="8" s="1"/>
  <c r="D21" i="8"/>
  <c r="E21" i="8" s="1"/>
  <c r="D29" i="8"/>
  <c r="E29" i="8" s="1"/>
  <c r="P41" i="8"/>
  <c r="Q41" i="8" s="1"/>
  <c r="L51" i="8"/>
  <c r="M51" i="8" s="1"/>
  <c r="H61" i="8"/>
  <c r="I61" i="8" s="1"/>
  <c r="H67" i="8"/>
  <c r="I67" i="8" s="1"/>
  <c r="P69" i="8"/>
  <c r="Q69" i="8" s="1"/>
  <c r="H34" i="8"/>
  <c r="I34" i="8" s="1"/>
  <c r="D42" i="8"/>
  <c r="E42" i="8" s="1"/>
  <c r="H45" i="8"/>
  <c r="I45" i="8" s="1"/>
  <c r="P51" i="8"/>
  <c r="Q51" i="8" s="1"/>
  <c r="D55" i="8"/>
  <c r="E55" i="8" s="1"/>
  <c r="L67" i="8"/>
  <c r="M67" i="8" s="1"/>
  <c r="L58" i="8"/>
  <c r="M58" i="8" s="1"/>
  <c r="P61" i="8"/>
  <c r="Q61" i="8" s="1"/>
  <c r="D70" i="8"/>
  <c r="E70" i="8" s="1"/>
  <c r="P72" i="8"/>
  <c r="Q72" i="8" s="1"/>
  <c r="D68" i="8"/>
  <c r="E68" i="8" s="1"/>
  <c r="L16" i="8"/>
  <c r="M16" i="8" s="1"/>
  <c r="P64" i="8"/>
  <c r="Q64" i="8" s="1"/>
  <c r="H27" i="8"/>
  <c r="I27" i="8" s="1"/>
  <c r="L39" i="8"/>
  <c r="M39" i="8" s="1"/>
  <c r="D22" i="8"/>
  <c r="E22" i="8" s="1"/>
  <c r="D43" i="8"/>
  <c r="E43" i="8" s="1"/>
  <c r="H46" i="8"/>
  <c r="I46" i="8" s="1"/>
  <c r="L52" i="8"/>
  <c r="M52" i="8" s="1"/>
  <c r="D56" i="8"/>
  <c r="E56" i="8" s="1"/>
  <c r="H62" i="8"/>
  <c r="I62" i="8" s="1"/>
  <c r="H65" i="8"/>
  <c r="I65" i="8" s="1"/>
  <c r="H73" i="8"/>
  <c r="I73" i="8" s="1"/>
  <c r="P58" i="8"/>
  <c r="Q58" i="8" s="1"/>
  <c r="P21" i="8"/>
  <c r="Q21" i="8" s="1"/>
  <c r="P34" i="8"/>
  <c r="Q34" i="8" s="1"/>
  <c r="P42" i="8"/>
  <c r="Q42" i="8" s="1"/>
  <c r="P24" i="8"/>
  <c r="Q24" i="8" s="1"/>
  <c r="L32" i="8"/>
  <c r="M32" i="8" s="1"/>
  <c r="H59" i="8"/>
  <c r="I59" i="8" s="1"/>
  <c r="D35" i="8"/>
  <c r="E35" i="8" s="1"/>
  <c r="L46" i="8"/>
  <c r="M46" i="8" s="1"/>
  <c r="L65" i="8"/>
  <c r="M65" i="8" s="1"/>
  <c r="H24" i="8"/>
  <c r="I24" i="8" s="1"/>
  <c r="D19" i="8"/>
  <c r="E19" i="8" s="1"/>
  <c r="H39" i="8"/>
  <c r="I39" i="8" s="1"/>
  <c r="P29" i="8"/>
  <c r="Q29" i="8" s="1"/>
  <c r="P55" i="8"/>
  <c r="Q55" i="8" s="1"/>
  <c r="H17" i="8"/>
  <c r="I17" i="8" s="1"/>
  <c r="P19" i="8"/>
  <c r="Q19" i="8" s="1"/>
  <c r="P27" i="8"/>
  <c r="Q27" i="8" s="1"/>
  <c r="L43" i="8"/>
  <c r="M43" i="8" s="1"/>
  <c r="D53" i="8"/>
  <c r="E53" i="8" s="1"/>
  <c r="L56" i="8"/>
  <c r="M56" i="8" s="1"/>
  <c r="P62" i="8"/>
  <c r="Q62" i="8" s="1"/>
  <c r="P65" i="8"/>
  <c r="Q65" i="8" s="1"/>
  <c r="P68" i="8"/>
  <c r="Q68" i="8" s="1"/>
  <c r="D71" i="8"/>
  <c r="E71" i="8" s="1"/>
  <c r="L73" i="8"/>
  <c r="M73" i="8" s="1"/>
  <c r="L21" i="8"/>
  <c r="M21" i="8" s="1"/>
  <c r="D49" i="8"/>
  <c r="E49" i="8" s="1"/>
  <c r="P16" i="8"/>
  <c r="Q16" i="8" s="1"/>
  <c r="P20" i="8"/>
  <c r="Q20" i="8" s="1"/>
  <c r="P54" i="8"/>
  <c r="Q54" i="8" s="1"/>
  <c r="P49" i="8"/>
  <c r="Q49" i="8" s="1"/>
  <c r="P44" i="8"/>
  <c r="Q44" i="8" s="1"/>
  <c r="P30" i="8"/>
  <c r="Q30" i="8" s="1"/>
  <c r="H32" i="8"/>
  <c r="I32" i="8" s="1"/>
  <c r="H25" i="8"/>
  <c r="I25" i="8" s="1"/>
  <c r="D50" i="8"/>
  <c r="E50" i="8" s="1"/>
  <c r="H53" i="8"/>
  <c r="I53" i="8" s="1"/>
  <c r="P56" i="8"/>
  <c r="Q56" i="8" s="1"/>
  <c r="D63" i="8"/>
  <c r="E63" i="8" s="1"/>
  <c r="L45" i="8"/>
  <c r="M45" i="8" s="1"/>
  <c r="D27" i="8"/>
  <c r="E27" i="8" s="1"/>
  <c r="L29" i="8"/>
  <c r="M29" i="8" s="1"/>
  <c r="H19" i="8"/>
  <c r="I19" i="8" s="1"/>
  <c r="L24" i="8"/>
  <c r="M24" i="8" s="1"/>
  <c r="H37" i="8"/>
  <c r="I37" i="8" s="1"/>
  <c r="H20" i="8"/>
  <c r="I20" i="8" s="1"/>
  <c r="L71" i="8"/>
  <c r="M71" i="8" s="1"/>
  <c r="D74" i="8"/>
  <c r="E74" i="8" s="1"/>
  <c r="L36" i="8"/>
  <c r="M36" i="8" s="1"/>
  <c r="L17" i="8"/>
  <c r="M17" i="8" s="1"/>
  <c r="P43" i="8"/>
  <c r="Q43" i="8" s="1"/>
  <c r="H30" i="8"/>
  <c r="I30" i="8" s="1"/>
  <c r="L53" i="8"/>
  <c r="M53" i="8" s="1"/>
  <c r="P22" i="8"/>
  <c r="Q22" i="8" s="1"/>
  <c r="H33" i="8"/>
  <c r="I33" i="8" s="1"/>
  <c r="P35" i="8"/>
  <c r="Q35" i="8" s="1"/>
  <c r="P40" i="8"/>
  <c r="Q40" i="8" s="1"/>
  <c r="L50" i="8"/>
  <c r="M50" i="8" s="1"/>
  <c r="H60" i="8"/>
  <c r="I60" i="8" s="1"/>
  <c r="H55" i="8"/>
  <c r="I55" i="8" s="1"/>
  <c r="D20" i="8"/>
  <c r="E20" i="8" s="1"/>
  <c r="H40" i="8"/>
  <c r="I40" i="8" s="1"/>
  <c r="D28" i="8"/>
  <c r="E28" i="8" s="1"/>
  <c r="D60" i="8"/>
  <c r="E60" i="8" s="1"/>
  <c r="D26" i="8"/>
  <c r="E26" i="8" s="1"/>
  <c r="D36" i="8"/>
  <c r="E36" i="8" s="1"/>
  <c r="H38" i="8"/>
  <c r="I38" i="8" s="1"/>
  <c r="D41" i="8"/>
  <c r="E41" i="8" s="1"/>
  <c r="L44" i="8"/>
  <c r="M44" i="8" s="1"/>
  <c r="P50" i="8"/>
  <c r="Q50" i="8" s="1"/>
  <c r="D54" i="8"/>
  <c r="E54" i="8" s="1"/>
  <c r="L60" i="8"/>
  <c r="M60" i="8" s="1"/>
  <c r="P63" i="8"/>
  <c r="Q63" i="8" s="1"/>
  <c r="L66" i="8"/>
  <c r="M66" i="8" s="1"/>
  <c r="P48" i="8"/>
  <c r="Q48" i="8" s="1"/>
  <c r="L70" i="8"/>
  <c r="M70" i="8" s="1"/>
  <c r="D18" i="8"/>
  <c r="E18" i="8" s="1"/>
  <c r="D25" i="8"/>
  <c r="E25" i="8" s="1"/>
  <c r="D39" i="8"/>
  <c r="E39" i="8" s="1"/>
  <c r="D67" i="8"/>
  <c r="E67" i="8" s="1"/>
  <c r="D62" i="8"/>
  <c r="E62" i="8" s="1"/>
  <c r="D57" i="8"/>
  <c r="E57" i="8" s="1"/>
  <c r="D40" i="8"/>
  <c r="E40" i="8" s="1"/>
  <c r="D32" i="8"/>
  <c r="E32" i="8" s="1"/>
  <c r="D33" i="8"/>
  <c r="E33" i="8" s="1"/>
  <c r="D46" i="8"/>
  <c r="E46" i="8" s="1"/>
  <c r="D15" i="8"/>
  <c r="E15" i="8" s="1"/>
  <c r="D47" i="8"/>
  <c r="E47" i="8" s="1"/>
  <c r="H66" i="8"/>
  <c r="I66" i="8" s="1"/>
  <c r="L49" i="8"/>
  <c r="M49" i="8" s="1"/>
  <c r="H18" i="8"/>
  <c r="I18" i="8" s="1"/>
  <c r="H26" i="8"/>
  <c r="I26" i="8" s="1"/>
  <c r="H41" i="8"/>
  <c r="I41" i="8" s="1"/>
  <c r="P47" i="8"/>
  <c r="Q47" i="8" s="1"/>
  <c r="H54" i="8"/>
  <c r="I54" i="8" s="1"/>
  <c r="L57" i="8"/>
  <c r="M57" i="8" s="1"/>
  <c r="D34" i="8"/>
  <c r="E34" i="8" s="1"/>
  <c r="P36" i="8"/>
  <c r="Q36" i="8" s="1"/>
  <c r="L22" i="8"/>
  <c r="M22" i="8" s="1"/>
  <c r="L30" i="8"/>
  <c r="M30" i="8" s="1"/>
  <c r="P37" i="8"/>
  <c r="Q37" i="8" s="1"/>
  <c r="L25" i="8"/>
  <c r="M25" i="8" s="1"/>
  <c r="D23" i="8"/>
  <c r="E23" i="8" s="1"/>
  <c r="P15" i="8"/>
  <c r="Q15" i="8" s="1"/>
  <c r="L23" i="8"/>
  <c r="M23" i="8" s="1"/>
  <c r="P28" i="8"/>
  <c r="Q28" i="8" s="1"/>
  <c r="H31" i="8"/>
  <c r="I31" i="8" s="1"/>
  <c r="P33" i="8"/>
  <c r="Q33" i="8" s="1"/>
  <c r="L38" i="8"/>
  <c r="M38" i="8" s="1"/>
  <c r="D48" i="8"/>
  <c r="E48" i="8" s="1"/>
  <c r="P57" i="8"/>
  <c r="Q57" i="8" s="1"/>
  <c r="D61" i="8"/>
  <c r="E61" i="8" s="1"/>
  <c r="D64" i="8"/>
  <c r="E64" i="8" s="1"/>
  <c r="H16" i="8"/>
  <c r="I16" i="8" s="1"/>
  <c r="L19" i="8"/>
  <c r="M19" i="8" s="1"/>
  <c r="D24" i="8"/>
  <c r="E24" i="8" s="1"/>
  <c r="L28" i="8"/>
  <c r="M28" i="8" s="1"/>
  <c r="P31" i="8"/>
  <c r="Q31" i="8" s="1"/>
  <c r="H36" i="8"/>
  <c r="I36" i="8" s="1"/>
  <c r="H42" i="8"/>
  <c r="I42" i="8" s="1"/>
  <c r="L54" i="8"/>
  <c r="M54" i="8" s="1"/>
  <c r="H58" i="8"/>
  <c r="I58" i="8" s="1"/>
  <c r="P66" i="8"/>
  <c r="Q66" i="8" s="1"/>
  <c r="P71" i="8"/>
  <c r="Q71" i="8" s="1"/>
  <c r="L37" i="8"/>
  <c r="M37" i="8" s="1"/>
  <c r="L48" i="8"/>
  <c r="M48" i="8" s="1"/>
  <c r="P60" i="8"/>
  <c r="Q60" i="8" s="1"/>
  <c r="H69" i="8"/>
  <c r="I69" i="8" s="1"/>
  <c r="L27" i="8"/>
  <c r="M27" i="8" s="1"/>
  <c r="H35" i="8"/>
  <c r="I35" i="8" s="1"/>
  <c r="P38" i="8"/>
  <c r="Q38" i="8" s="1"/>
  <c r="L42" i="8"/>
  <c r="M42" i="8" s="1"/>
  <c r="H47" i="8"/>
  <c r="I47" i="8" s="1"/>
  <c r="D51" i="8"/>
  <c r="E51" i="8" s="1"/>
  <c r="H52" i="8"/>
  <c r="I52" i="8" s="1"/>
  <c r="L59" i="8"/>
  <c r="M59" i="8" s="1"/>
  <c r="H63" i="8"/>
  <c r="I63" i="8" s="1"/>
  <c r="L64" i="8"/>
  <c r="M64" i="8" s="1"/>
  <c r="L69" i="8"/>
  <c r="M69" i="8" s="1"/>
  <c r="P70" i="8"/>
  <c r="Q70" i="8" s="1"/>
  <c r="D72" i="8"/>
  <c r="E72" i="8" s="1"/>
  <c r="D45" i="8"/>
  <c r="E45" i="8" s="1"/>
  <c r="H57" i="8"/>
  <c r="I57" i="8" s="1"/>
  <c r="D31" i="8"/>
  <c r="E31" i="8" s="1"/>
  <c r="L35" i="8"/>
  <c r="M35" i="8" s="1"/>
  <c r="P59" i="8"/>
  <c r="Q59" i="8" s="1"/>
  <c r="L63" i="8"/>
  <c r="M63" i="8" s="1"/>
  <c r="H68" i="8"/>
  <c r="I68" i="8" s="1"/>
  <c r="H72" i="8"/>
  <c r="I72" i="8" s="1"/>
  <c r="L15" i="8"/>
  <c r="M15" i="8" s="1"/>
  <c r="L41" i="8"/>
  <c r="M41" i="8" s="1"/>
  <c r="P53" i="8"/>
  <c r="Q53" i="8" s="1"/>
  <c r="D66" i="8"/>
  <c r="E66" i="8" s="1"/>
  <c r="P17" i="8"/>
  <c r="Q17" i="8" s="1"/>
  <c r="H22" i="8"/>
  <c r="I22" i="8" s="1"/>
  <c r="P26" i="8"/>
  <c r="Q26" i="8" s="1"/>
  <c r="D30" i="8"/>
  <c r="E30" i="8" s="1"/>
  <c r="L34" i="8"/>
  <c r="M34" i="8" s="1"/>
  <c r="D38" i="8"/>
  <c r="E38" i="8" s="1"/>
  <c r="D44" i="8"/>
  <c r="E44" i="8" s="1"/>
  <c r="H56" i="8"/>
  <c r="I56" i="8" s="1"/>
  <c r="L68" i="8"/>
  <c r="M68" i="8" s="1"/>
  <c r="H51" i="8"/>
  <c r="I51" i="8" s="1"/>
  <c r="H50" i="8"/>
  <c r="I50" i="8" s="1"/>
  <c r="L62" i="8"/>
  <c r="M62" i="8" s="1"/>
  <c r="H71" i="8"/>
  <c r="I71" i="8" s="1"/>
  <c r="L72" i="8"/>
  <c r="M72" i="8" s="1"/>
  <c r="P73" i="8"/>
  <c r="Q73" i="8" s="1"/>
  <c r="L33" i="8"/>
  <c r="M33" i="8" s="1"/>
  <c r="P52" i="8"/>
  <c r="Q52" i="8" s="1"/>
  <c r="D65" i="8"/>
  <c r="E65" i="8" s="1"/>
  <c r="P18" i="8"/>
  <c r="Q18" i="8" s="1"/>
  <c r="P25" i="8"/>
  <c r="Q25" i="8" s="1"/>
  <c r="D37" i="8"/>
  <c r="E37" i="8" s="1"/>
  <c r="P46" i="8"/>
  <c r="Q46" i="8" s="1"/>
  <c r="D59" i="8"/>
  <c r="E59" i="8" s="1"/>
  <c r="L47" i="8"/>
  <c r="M47" i="8" s="1"/>
  <c r="H21" i="8"/>
  <c r="I21" i="8" s="1"/>
  <c r="D17" i="8"/>
  <c r="E17" i="8" s="1"/>
  <c r="H29" i="8"/>
  <c r="I29" i="8" s="1"/>
  <c r="H49" i="8"/>
  <c r="I49" i="8" s="1"/>
  <c r="L61" i="8"/>
  <c r="M61" i="8" s="1"/>
  <c r="L26" i="8"/>
  <c r="M26" i="8" s="1"/>
  <c r="L40" i="8"/>
  <c r="M40" i="8" s="1"/>
  <c r="H43" i="8"/>
  <c r="I43" i="8" s="1"/>
  <c r="L55" i="8"/>
  <c r="M55" i="8" s="1"/>
  <c r="P67" i="8"/>
  <c r="Q67" i="8" s="1"/>
  <c r="D69" i="8"/>
  <c r="E69" i="8" s="1"/>
  <c r="H70" i="8"/>
  <c r="I70" i="8" s="1"/>
  <c r="H74" i="8"/>
  <c r="I74" i="8" s="1"/>
  <c r="D16" i="8"/>
  <c r="E16" i="8" s="1"/>
  <c r="L20" i="8"/>
  <c r="M20" i="8" s="1"/>
  <c r="H28" i="8"/>
  <c r="I28" i="8" s="1"/>
  <c r="P32" i="8"/>
  <c r="Q32" i="8" s="1"/>
  <c r="P45" i="8"/>
  <c r="Q45" i="8" s="1"/>
  <c r="D58" i="8"/>
  <c r="E58" i="8" s="1"/>
  <c r="D73" i="8"/>
  <c r="E73" i="8" s="1"/>
  <c r="L74" i="8"/>
  <c r="M74" i="8" s="1"/>
  <c r="H15" i="8"/>
  <c r="I15" i="8" s="1"/>
  <c r="H23" i="8"/>
  <c r="I23" i="8" s="1"/>
  <c r="H44" i="8"/>
  <c r="I44" i="8" s="1"/>
  <c r="P39" i="8"/>
  <c r="Q39" i="8" s="1"/>
  <c r="D52" i="8"/>
  <c r="E52" i="8" s="1"/>
  <c r="H64" i="8"/>
  <c r="I64" i="8" s="1"/>
  <c r="P74" i="8"/>
  <c r="Q74" i="8" s="1"/>
  <c r="H7" i="9" l="1"/>
  <c r="F7" i="9"/>
  <c r="G7" i="9"/>
  <c r="K7" i="9"/>
  <c r="G10" i="9"/>
  <c r="E126" i="9"/>
  <c r="F126" i="9" s="1"/>
  <c r="F10" i="9" s="1"/>
  <c r="L7" i="9"/>
  <c r="M152" i="9"/>
  <c r="N152" i="9" s="1"/>
  <c r="J7" i="9"/>
  <c r="D8" i="8"/>
  <c r="D10" i="8" s="1"/>
  <c r="D11" i="8" s="1"/>
  <c r="E8" i="8"/>
  <c r="E10" i="8" s="1"/>
  <c r="E11" i="8" s="1"/>
  <c r="C8" i="8"/>
  <c r="C10" i="8" s="1"/>
  <c r="B8" i="8"/>
  <c r="B10" i="8" s="1"/>
  <c r="C9" i="6" l="1"/>
  <c r="X5" i="6" s="1"/>
  <c r="AD5" i="6"/>
  <c r="AC5" i="6"/>
  <c r="AB5" i="6"/>
  <c r="AA5" i="6"/>
  <c r="T5" i="6"/>
  <c r="R5" i="6"/>
  <c r="Q5" i="6"/>
  <c r="G17" i="5"/>
  <c r="F17" i="5"/>
  <c r="E17" i="5"/>
  <c r="C17" i="5"/>
  <c r="B17" i="5"/>
  <c r="H17" i="5" s="1"/>
  <c r="F16" i="5"/>
  <c r="C16" i="5"/>
  <c r="B16" i="5"/>
  <c r="E16" i="5" s="1"/>
  <c r="K5" i="5" s="1"/>
  <c r="G15" i="5"/>
  <c r="F15" i="5"/>
  <c r="E15" i="5"/>
  <c r="C15" i="5"/>
  <c r="B15" i="5"/>
  <c r="H15" i="5" s="1"/>
  <c r="C12" i="5"/>
  <c r="C11" i="5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E16" i="4" s="1"/>
  <c r="F16" i="4" s="1"/>
  <c r="G16" i="4" s="1"/>
  <c r="B14" i="7" s="1"/>
  <c r="J16" i="4"/>
  <c r="I16" i="4"/>
  <c r="H16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E15" i="4" s="1"/>
  <c r="F15" i="4" s="1"/>
  <c r="G15" i="4" s="1"/>
  <c r="B13" i="7" s="1"/>
  <c r="AA12" i="4"/>
  <c r="Z12" i="4"/>
  <c r="Y12" i="4"/>
  <c r="X12" i="4"/>
  <c r="W12" i="4"/>
  <c r="V12" i="4"/>
  <c r="U12" i="4"/>
  <c r="T12" i="4"/>
  <c r="S12" i="4"/>
  <c r="E12" i="4" s="1"/>
  <c r="F12" i="4" s="1"/>
  <c r="G12" i="4" s="1"/>
  <c r="B12" i="7" s="1"/>
  <c r="R12" i="4"/>
  <c r="Q12" i="4"/>
  <c r="P12" i="4"/>
  <c r="O12" i="4"/>
  <c r="N12" i="4"/>
  <c r="M12" i="4"/>
  <c r="L12" i="4"/>
  <c r="K12" i="4"/>
  <c r="J12" i="4"/>
  <c r="I12" i="4"/>
  <c r="H12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E11" i="4" s="1"/>
  <c r="F11" i="4" s="1"/>
  <c r="G11" i="4" s="1"/>
  <c r="I11" i="4"/>
  <c r="H11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E8" i="4" s="1"/>
  <c r="F8" i="4" s="1"/>
  <c r="G8" i="4" s="1"/>
  <c r="B11" i="7" s="1"/>
  <c r="AA7" i="4"/>
  <c r="Z7" i="4"/>
  <c r="Y7" i="4"/>
  <c r="X7" i="4"/>
  <c r="W7" i="4"/>
  <c r="V7" i="4"/>
  <c r="U7" i="4"/>
  <c r="T7" i="4"/>
  <c r="S7" i="4"/>
  <c r="R7" i="4"/>
  <c r="Q7" i="4"/>
  <c r="E7" i="4" s="1"/>
  <c r="F7" i="4" s="1"/>
  <c r="G7" i="4" s="1"/>
  <c r="B10" i="7" s="1"/>
  <c r="P7" i="4"/>
  <c r="O7" i="4"/>
  <c r="N7" i="4"/>
  <c r="M7" i="4"/>
  <c r="L7" i="4"/>
  <c r="K7" i="4"/>
  <c r="J7" i="4"/>
  <c r="I7" i="4"/>
  <c r="H7" i="4"/>
  <c r="C16" i="3"/>
  <c r="C15" i="3"/>
  <c r="C14" i="3"/>
  <c r="B14" i="3"/>
  <c r="D14" i="3" s="1"/>
  <c r="E14" i="3" s="1"/>
  <c r="F14" i="3" s="1"/>
  <c r="C13" i="3"/>
  <c r="I11" i="3"/>
  <c r="I12" i="3" s="1"/>
  <c r="C9" i="3"/>
  <c r="B6" i="7" s="1"/>
  <c r="C8" i="3"/>
  <c r="B13" i="3" s="1"/>
  <c r="D13" i="3" s="1"/>
  <c r="E13" i="3" s="1"/>
  <c r="F13" i="3" s="1"/>
  <c r="H9" i="2"/>
  <c r="I9" i="2" s="1"/>
  <c r="F9" i="2"/>
  <c r="G9" i="2" s="1"/>
  <c r="H8" i="2"/>
  <c r="I8" i="2" s="1"/>
  <c r="F8" i="2"/>
  <c r="G8" i="2" s="1"/>
  <c r="H7" i="2"/>
  <c r="I7" i="2" s="1"/>
  <c r="F7" i="2"/>
  <c r="G7" i="2" s="1"/>
  <c r="H6" i="2"/>
  <c r="I6" i="2" s="1"/>
  <c r="J6" i="2" s="1"/>
  <c r="K6" i="2" s="1"/>
  <c r="F6" i="2"/>
  <c r="H13" i="6" l="1"/>
  <c r="AE5" i="6"/>
  <c r="C10" i="6"/>
  <c r="R6" i="6" s="1"/>
  <c r="R7" i="6" s="1"/>
  <c r="H12" i="6"/>
  <c r="H17" i="6"/>
  <c r="M5" i="6"/>
  <c r="N5" i="6"/>
  <c r="N6" i="6" s="1"/>
  <c r="N7" i="6" s="1"/>
  <c r="O5" i="6"/>
  <c r="O6" i="6" s="1"/>
  <c r="O7" i="6" s="1"/>
  <c r="P5" i="6"/>
  <c r="P6" i="6" s="1"/>
  <c r="P7" i="6" s="1"/>
  <c r="H19" i="6"/>
  <c r="I12" i="6"/>
  <c r="I13" i="6"/>
  <c r="I17" i="6"/>
  <c r="I19" i="6"/>
  <c r="J7" i="2"/>
  <c r="K7" i="2" s="1"/>
  <c r="L7" i="2" s="1"/>
  <c r="J8" i="2"/>
  <c r="K8" i="2" s="1"/>
  <c r="L8" i="2" s="1"/>
  <c r="J9" i="2"/>
  <c r="K9" i="2" s="1"/>
  <c r="L9" i="2" s="1"/>
  <c r="K7" i="5"/>
  <c r="O6" i="2"/>
  <c r="B4" i="7" s="1"/>
  <c r="L6" i="2"/>
  <c r="O7" i="2"/>
  <c r="B5" i="7" s="1"/>
  <c r="G16" i="5"/>
  <c r="K6" i="5" s="1"/>
  <c r="K5" i="6"/>
  <c r="K6" i="6" s="1"/>
  <c r="K7" i="6" s="1"/>
  <c r="Y5" i="6"/>
  <c r="Y6" i="6" s="1"/>
  <c r="Y7" i="6" s="1"/>
  <c r="M6" i="6"/>
  <c r="M7" i="6" s="1"/>
  <c r="AA6" i="6"/>
  <c r="AA7" i="6" s="1"/>
  <c r="C12" i="6"/>
  <c r="F12" i="6" s="1"/>
  <c r="H16" i="6"/>
  <c r="I16" i="6" s="1"/>
  <c r="H16" i="5"/>
  <c r="L5" i="6"/>
  <c r="Z5" i="6"/>
  <c r="Z6" i="6" s="1"/>
  <c r="Z7" i="6" s="1"/>
  <c r="AB6" i="6"/>
  <c r="AB7" i="6" s="1"/>
  <c r="B16" i="3"/>
  <c r="D16" i="3" s="1"/>
  <c r="E16" i="3" s="1"/>
  <c r="F16" i="3" s="1"/>
  <c r="AC6" i="6"/>
  <c r="AC7" i="6" s="1"/>
  <c r="AD6" i="6"/>
  <c r="AD7" i="6" s="1"/>
  <c r="D15" i="5"/>
  <c r="D17" i="5"/>
  <c r="Q6" i="6"/>
  <c r="Q7" i="6" s="1"/>
  <c r="AE6" i="6"/>
  <c r="AE7" i="6" s="1"/>
  <c r="H18" i="6"/>
  <c r="I18" i="6" s="1"/>
  <c r="S5" i="6"/>
  <c r="G6" i="6"/>
  <c r="G7" i="6" s="1"/>
  <c r="H10" i="6"/>
  <c r="H14" i="6"/>
  <c r="I14" i="6" s="1"/>
  <c r="H20" i="6"/>
  <c r="I20" i="6" s="1"/>
  <c r="I7" i="3"/>
  <c r="I8" i="3" s="1"/>
  <c r="B8" i="7" s="1"/>
  <c r="U5" i="6"/>
  <c r="U6" i="6" s="1"/>
  <c r="U7" i="6" s="1"/>
  <c r="I6" i="6"/>
  <c r="I7" i="6" s="1"/>
  <c r="W6" i="6"/>
  <c r="W7" i="6" s="1"/>
  <c r="C11" i="6"/>
  <c r="B15" i="3"/>
  <c r="D15" i="3" s="1"/>
  <c r="E15" i="3" s="1"/>
  <c r="F15" i="3" s="1"/>
  <c r="I4" i="3" s="1"/>
  <c r="I5" i="3" s="1"/>
  <c r="D16" i="5"/>
  <c r="H5" i="6"/>
  <c r="H6" i="6" s="1"/>
  <c r="H7" i="6" s="1"/>
  <c r="V5" i="6"/>
  <c r="V6" i="6" s="1"/>
  <c r="V7" i="6" s="1"/>
  <c r="X6" i="6"/>
  <c r="X7" i="6" s="1"/>
  <c r="H15" i="6"/>
  <c r="I15" i="6" s="1"/>
  <c r="T6" i="6"/>
  <c r="T7" i="6" s="1"/>
  <c r="I5" i="6"/>
  <c r="W5" i="6"/>
  <c r="H11" i="6"/>
  <c r="I11" i="6" s="1"/>
  <c r="J5" i="6"/>
  <c r="J6" i="6" s="1"/>
  <c r="J7" i="6" s="1"/>
  <c r="I10" i="6" l="1"/>
  <c r="S6" i="6"/>
  <c r="S7" i="6" s="1"/>
  <c r="L6" i="6"/>
  <c r="L7" i="6" s="1"/>
  <c r="F6" i="6"/>
  <c r="B7" i="7"/>
  <c r="I9" i="3"/>
  <c r="I13" i="3"/>
  <c r="I14" i="3" s="1"/>
  <c r="K4" i="5"/>
  <c r="B15" i="7" s="1"/>
  <c r="B19" i="7"/>
  <c r="F7" i="6"/>
  <c r="K8" i="5"/>
  <c r="K9" i="5"/>
  <c r="B16" i="7" s="1"/>
  <c r="K11" i="5"/>
  <c r="K10" i="5"/>
  <c r="F4" i="6"/>
  <c r="F5" i="6" s="1"/>
  <c r="F14" i="6" l="1"/>
  <c r="F16" i="6" s="1"/>
  <c r="B18" i="7"/>
  <c r="F9" i="6"/>
  <c r="F11" i="6" s="1"/>
  <c r="B20" i="7" s="1"/>
  <c r="F13" i="6"/>
  <c r="F8" i="6"/>
  <c r="F10" i="6" s="1"/>
  <c r="B17" i="7"/>
  <c r="K12" i="5"/>
  <c r="I10" i="3"/>
  <c r="B9" i="7"/>
  <c r="B21" i="7" l="1"/>
  <c r="F1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I5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Modified duration = Macaulay duration / (1 + yield). This is the duration measure that approximates % price changes.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K12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Positive value here means the flat-yield shortcut exaggerates the size of the loss relative to full curve pricing.</t>
        </r>
      </text>
    </comment>
  </commentList>
</comments>
</file>

<file path=xl/sharedStrings.xml><?xml version="1.0" encoding="utf-8"?>
<sst xmlns="http://schemas.openxmlformats.org/spreadsheetml/2006/main" count="339" uniqueCount="209">
  <si>
    <t>Interest Rate Risk Problem Set — Fully Worked Excel File</t>
  </si>
  <si>
    <t>Workbook contents</t>
  </si>
  <si>
    <t>Part1</t>
  </si>
  <si>
    <t>Bond pricing and sensitivity to a +1% yield shock; includes ranking by interest-rate sensitivity.</t>
  </si>
  <si>
    <t>Part2</t>
  </si>
  <si>
    <t>Step-by-step duration build for a 4-year, 6% coupon bond at a 7% yield; includes actual vs estimated price changes.</t>
  </si>
  <si>
    <t>Part3</t>
  </si>
  <si>
    <t>Three duration comparison panels showing the effects of maturity, coupon, and yield.</t>
  </si>
  <si>
    <t>Part4</t>
  </si>
  <si>
    <t>Yield-curve pricing with spot rates and a steepening example; compares full-curve pricing with a flat-yield shortcut.</t>
  </si>
  <si>
    <t>Part5</t>
  </si>
  <si>
    <t>Convexity demonstration using a 25-year, 4% coupon bond; compares actual changes, duration-only estimates, and duration+convexity estimates.</t>
  </si>
  <si>
    <t>Solution_Summary</t>
  </si>
  <si>
    <t>Instructor-facing summary of the main answers linked directly from the calculations.</t>
  </si>
  <si>
    <t>Color/format legend</t>
  </si>
  <si>
    <t>Blue font</t>
  </si>
  <si>
    <t>Hardcoded instructor inputs students can change in class</t>
  </si>
  <si>
    <t>Black font</t>
  </si>
  <si>
    <t>Formulas and derived outputs</t>
  </si>
  <si>
    <t>Gray fill</t>
  </si>
  <si>
    <t>Labels or static headings</t>
  </si>
  <si>
    <t>Yellow fill</t>
  </si>
  <si>
    <t>Key assumptions or cells worth reviewing</t>
  </si>
  <si>
    <t>Currency / % formats</t>
  </si>
  <si>
    <t>Prices, durations, and changes are preformatted for readability</t>
  </si>
  <si>
    <t>Notes</t>
  </si>
  <si>
    <t>All calculations use annual coupon payments and a $1,000 par value unless otherwise noted.</t>
  </si>
  <si>
    <t>This workbook is fully worked: formulas are embedded throughout, and the Solution_Summary sheet links the main answers.</t>
  </si>
  <si>
    <t>Part 1 — Price–Yield Intuition and Bond Ranking</t>
  </si>
  <si>
    <t>Task</t>
  </si>
  <si>
    <t>Compute each bond's price, reprice after a +1.0% yield shock, and rank the bonds by interest-rate sensitivity.</t>
  </si>
  <si>
    <t>Yield shock</t>
  </si>
  <si>
    <t>Applied to each bond's current yield</t>
  </si>
  <si>
    <t>Bond</t>
  </si>
  <si>
    <t>Coupon Rate</t>
  </si>
  <si>
    <t>Maturity (yrs)</t>
  </si>
  <si>
    <t>Yield</t>
  </si>
  <si>
    <t>Par</t>
  </si>
  <si>
    <t>Coupon ($)</t>
  </si>
  <si>
    <t>Price @ current yield</t>
  </si>
  <si>
    <t>Yield + shock</t>
  </si>
  <si>
    <t>Price @ shocked yield</t>
  </si>
  <si>
    <t>% price change</t>
  </si>
  <si>
    <t>Abs. % change</t>
  </si>
  <si>
    <t>Sensitivity rank</t>
  </si>
  <si>
    <t>A</t>
  </si>
  <si>
    <t>Most sensitive bond</t>
  </si>
  <si>
    <t>B</t>
  </si>
  <si>
    <t>Least sensitive bond</t>
  </si>
  <si>
    <t>C</t>
  </si>
  <si>
    <t>Teaching note</t>
  </si>
  <si>
    <t>Longest maturity + lowest coupon + lowest starting yield gives the largest price response.</t>
  </si>
  <si>
    <t>D</t>
  </si>
  <si>
    <t>Part 2 — Step-by-Step Duration Calculation</t>
  </si>
  <si>
    <t>Inputs</t>
  </si>
  <si>
    <t>Summary answers</t>
  </si>
  <si>
    <t>Par value</t>
  </si>
  <si>
    <t>Macaulay duration</t>
  </si>
  <si>
    <t>Coupon rate</t>
  </si>
  <si>
    <t>Modified duration</t>
  </si>
  <si>
    <t>Shock size (Δy)</t>
  </si>
  <si>
    <t>Price if yield rises by Δy</t>
  </si>
  <si>
    <t>Actual % change (yield up)</t>
  </si>
  <si>
    <t>Price</t>
  </si>
  <si>
    <t>Duration estimate (yield up)</t>
  </si>
  <si>
    <t>Estimate error (up)</t>
  </si>
  <si>
    <t>Price if yield falls by Δy</t>
  </si>
  <si>
    <t>Period</t>
  </si>
  <si>
    <t>Cash flow</t>
  </si>
  <si>
    <t>Discount factor</t>
  </si>
  <si>
    <t>PV</t>
  </si>
  <si>
    <t>Weight</t>
  </si>
  <si>
    <t>t × Weight</t>
  </si>
  <si>
    <t>Actual % change (yield down)</t>
  </si>
  <si>
    <t>Duration estimate (yield down)</t>
  </si>
  <si>
    <t>Estimate error (down)</t>
  </si>
  <si>
    <t>Interpretation</t>
  </si>
  <si>
    <t>Modified duration is the approximate % price change for a 1.00 change in yield. For a +1.0% move, multiply modified duration by 0.01. The estimate is close but not exact because the price–yield relationship is curved.</t>
  </si>
  <si>
    <t>Part 3 — How Bond Characteristics Affect Duration</t>
  </si>
  <si>
    <t>Summary output columns</t>
  </si>
  <si>
    <t>Helper PV-by-period columns</t>
  </si>
  <si>
    <t>Scenario</t>
  </si>
  <si>
    <t>Maturity</t>
  </si>
  <si>
    <t>A. Maturity effect (coupon = 8%, yield = 6%)</t>
  </si>
  <si>
    <t>5-year, 8% coupon, 6% yield</t>
  </si>
  <si>
    <t>20-year, 8% coupon, 6% yield</t>
  </si>
  <si>
    <t>B. Coupon effect (maturity = 20 years, yield = 6%)</t>
  </si>
  <si>
    <t>20-year, 2% coupon, 6% yield</t>
  </si>
  <si>
    <t>C. Yield effect (20-year zero coupon bond)</t>
  </si>
  <si>
    <t>20-year zero, 8% yield</t>
  </si>
  <si>
    <t>20-year zero, 3% yield</t>
  </si>
  <si>
    <t>Instructor notes</t>
  </si>
  <si>
    <t>• Maturity effect:</t>
  </si>
  <si>
    <t>Longer maturity increases duration because more cash flow weight sits far in the future.</t>
  </si>
  <si>
    <t>• Coupon effect:</t>
  </si>
  <si>
    <t>Lower coupons increase duration because less value is received early and more comes from distant principal.</t>
  </si>
  <si>
    <t>• Yield effect:</t>
  </si>
  <si>
    <t>For a zero-coupon bond, Macaulay duration equals maturity, but modified duration increases when yield falls.</t>
  </si>
  <si>
    <t>Part 4 — Yield Curve Pricing vs. Flat-Yield Shortcut</t>
  </si>
  <si>
    <t>Bond and term-structure inputs</t>
  </si>
  <si>
    <t>Baseline price (curve)</t>
  </si>
  <si>
    <t>Annual coupon ($)</t>
  </si>
  <si>
    <t>Baseline price (flat 5.5%)</t>
  </si>
  <si>
    <t>Steepened price (curve)</t>
  </si>
  <si>
    <t>y1</t>
  </si>
  <si>
    <t>Steepened price (flat 6.5%)</t>
  </si>
  <si>
    <t>y2</t>
  </si>
  <si>
    <t>$ change using curve</t>
  </si>
  <si>
    <t>y3 (baseline)</t>
  </si>
  <si>
    <t>% change using curve</t>
  </si>
  <si>
    <t>y3 (steepened)</t>
  </si>
  <si>
    <t>$ change using flat shortcut</t>
  </si>
  <si>
    <t>Flat rate baseline</t>
  </si>
  <si>
    <t>% change using flat shortcut</t>
  </si>
  <si>
    <t>Flat rate steepened</t>
  </si>
  <si>
    <t>Extra loss implied by flat shortcut</t>
  </si>
  <si>
    <t>Spot rate (baseline)</t>
  </si>
  <si>
    <t>PV (curve)</t>
  </si>
  <si>
    <t>PV (flat)</t>
  </si>
  <si>
    <t>Spot rate (steepened)</t>
  </si>
  <si>
    <t>PV (curve, new)</t>
  </si>
  <si>
    <t>PV (flat, new)</t>
  </si>
  <si>
    <t>When only the 3-year rate rises, the flat-yield shortcut overstates the loss because it incorrectly reprices the year-1 and year-2 coupons at the higher rate.</t>
  </si>
  <si>
    <t>Part 5 - Convexity and Duration Approximation Error</t>
  </si>
  <si>
    <t>Price-Yield Grid</t>
  </si>
  <si>
    <t>1</t>
  </si>
  <si>
    <t>Approx. convexity</t>
  </si>
  <si>
    <t>Duration-only est. (up)</t>
  </si>
  <si>
    <t>Duration + convexity est. (up)</t>
  </si>
  <si>
    <t>% Chg vs Base</t>
  </si>
  <si>
    <t>Price at current yield</t>
  </si>
  <si>
    <t>Error of duration-only (up)</t>
  </si>
  <si>
    <t>Price at y + Δy</t>
  </si>
  <si>
    <t>Error of dur.+convexity (up)</t>
  </si>
  <si>
    <t>Price at y - Δy</t>
  </si>
  <si>
    <t>Duration-only est. (down)</t>
  </si>
  <si>
    <t>Duration + convexity est. (down)</t>
  </si>
  <si>
    <t>Error of duration-only (down)</t>
  </si>
  <si>
    <t>Error of dur.+convexity (down)</t>
  </si>
  <si>
    <t>Teaching note: Compare the actual price changes in F7 and F12 with the duration-only estimates in F8 and F13. The convexity-adjusted estimates in F9 and F14 should be closer for a 1% yield shock. The price-yield grid on the right can be graphed manually in Excel if desired.</t>
  </si>
  <si>
    <t>Helper rows:</t>
  </si>
  <si>
    <t>Row 5 = PV of each cash flow</t>
  </si>
  <si>
    <t>Row 6 = PV weight</t>
  </si>
  <si>
    <t>Row 7 = time x weight</t>
  </si>
  <si>
    <t>Instructor Solution Summary</t>
  </si>
  <si>
    <t>Part 1: most sensitive bond</t>
  </si>
  <si>
    <t>Bond D has the largest loss from a +1% yield shock.</t>
  </si>
  <si>
    <t>Part 1: least sensitive bond</t>
  </si>
  <si>
    <t>Bond A has the smallest loss because its maturity is short.</t>
  </si>
  <si>
    <t>Part 2: price</t>
  </si>
  <si>
    <t>Current bond price for the 4-year, 6% coupon bond at 7% yield.</t>
  </si>
  <si>
    <t>Part 2: modified duration</t>
  </si>
  <si>
    <t>Use this to approximate small % price changes.</t>
  </si>
  <si>
    <t>Part 2: actual % change if yield rises 1%</t>
  </si>
  <si>
    <t>Compare this with the duration estimate in the next row.</t>
  </si>
  <si>
    <t>Part 2: duration estimate if yield rises 1%</t>
  </si>
  <si>
    <t>The duration estimate is close, but not exact.</t>
  </si>
  <si>
    <t>Part 3: modified duration, 5-year 8% coupon</t>
  </si>
  <si>
    <t>Shorter maturity lowers duration.</t>
  </si>
  <si>
    <t>Part 3: modified duration, 20-year 8% coupon</t>
  </si>
  <si>
    <t>Longer maturity raises duration.</t>
  </si>
  <si>
    <t>Part 3: modified duration, 20-year 2% coupon</t>
  </si>
  <si>
    <t>Lower coupon raises duration.</t>
  </si>
  <si>
    <t>Part 3: modified duration, 20-year zero at 8%</t>
  </si>
  <si>
    <t>Higher yield lowers modified duration.</t>
  </si>
  <si>
    <t>Part 3: modified duration, 20-year zero at 3%</t>
  </si>
  <si>
    <t>Lower yield raises modified duration.</t>
  </si>
  <si>
    <t>Part 4: baseline curve price</t>
  </si>
  <si>
    <t>Uses maturity-specific spot rates for each cash flow.</t>
  </si>
  <si>
    <t>Part 4: steepened curve % change</t>
  </si>
  <si>
    <t>Only the 3-year rate rises here.</t>
  </si>
  <si>
    <t>Part 4: flat-shortcut % change</t>
  </si>
  <si>
    <t>The flat-yield shortcut overstates the loss.</t>
  </si>
  <si>
    <t>Part 5: modified duration</t>
  </si>
  <si>
    <t>Duration-only estimate is linear.</t>
  </si>
  <si>
    <t>Part 5: convexity</t>
  </si>
  <si>
    <t>Finite-difference convexity estimate.</t>
  </si>
  <si>
    <t>Part 5: actual % change if yield falls</t>
  </si>
  <si>
    <t>Actual gains are larger than duration-only predicts.</t>
  </si>
  <si>
    <t>Part 5: duration + convexity estimate if yield falls</t>
  </si>
  <si>
    <t>Adding convexity improves the approximation.</t>
  </si>
  <si>
    <t>Recommended discussion prompts</t>
  </si>
  <si>
    <t>1.</t>
  </si>
  <si>
    <t>Why does pushing value into distant cash flows raise duration?</t>
  </si>
  <si>
    <t>2.</t>
  </si>
  <si>
    <t>Why does the flat-yield shortcut misstate the loss when only the long end of the curve steepens?</t>
  </si>
  <si>
    <t>3.</t>
  </si>
  <si>
    <t>Why does convexity make large yield declines especially attractive for long-duration bonds?</t>
  </si>
  <si>
    <t>Bond A</t>
  </si>
  <si>
    <t>Bond B</t>
  </si>
  <si>
    <t>Bond C</t>
  </si>
  <si>
    <t>Bond D</t>
  </si>
  <si>
    <t>Par Value</t>
  </si>
  <si>
    <t>Duration</t>
  </si>
  <si>
    <t>Cash Flow</t>
  </si>
  <si>
    <t>Discounted Cash Flow</t>
  </si>
  <si>
    <t>Weighted Maturity</t>
  </si>
  <si>
    <t>Approx Change</t>
  </si>
  <si>
    <t>Approx Change (with convexity)</t>
  </si>
  <si>
    <t>True Change</t>
  </si>
  <si>
    <t>Price with +1% yield</t>
  </si>
  <si>
    <t>Constant Yields</t>
  </si>
  <si>
    <t>Increasing yield curve</t>
  </si>
  <si>
    <t>Inverted yield curve</t>
  </si>
  <si>
    <t>Original Yield</t>
  </si>
  <si>
    <t>Duration -- upward sloping curve</t>
  </si>
  <si>
    <t>Duration -- inverted yield curve</t>
  </si>
  <si>
    <t>Price -- upward sloping curve</t>
  </si>
  <si>
    <t>Price -- inverted yield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</si>
</sst>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164" formatCode="0.0%;[Red]\(0.0%\)"/>
    <numFmt numFmtId="165" formatCode="\$#,##0.00;[Red]\(\$#,##0.00\)"/>
    <numFmt numFmtId="166" formatCode="0.000"/>
    <numFmt numFmtId="167" formatCode="\$#,##0.00"/>
    <numFmt numFmtId="168" formatCode="0.0%"/>
    <numFmt numFmtId="169" formatCode="0.0000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1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2"/>
      <color rgb="FFFFFFFF"/>
      <name val="Calibri"/>
      <family val="2"/>
    </font>
    <font>
      <b/>
      <sz val="13"/>
      <color rgb="FFFFFFFF"/>
      <name val="Calibri"/>
      <family val="2"/>
    </font>
    <font>
      <b/>
      <sz val="10"/>
      <name val="Calibri"/>
      <family val="2"/>
    </font>
    <font>
      <i/>
      <sz val="9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D9EAF7"/>
      </patternFill>
    </fill>
    <fill>
      <patternFill patternType="solid">
        <fgColor rgb="FFF3F3F3"/>
      </patternFill>
    </fill>
    <fill>
      <patternFill patternType="solid">
        <fgColor rgb="FFE2F0D9"/>
      </patternFill>
    </fill>
  </fills>
  <borders count="16">
    <border>
      <left/>
      <right/>
      <top/>
      <bottom/>
      <diagonal/>
    </border>
    <border>
      <left/>
      <right/>
      <top style="medium">
        <color rgb="FF1F4E7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2" fillId="0" borderId="0" xfId="0" applyFont="1" applyAlignment="1">
      <alignment horizontal="left" vertical="center"/>
    </xf>
    <xf numFmtId="0" fontId="0" fillId="0" borderId="0" xfId="0" applyAlignment="1">
      <alignment vertical="top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2" fillId="0" borderId="0" xfId="0" applyFont="1" applyAlignment="1">
      <alignment vertical="top" wrapText="1"/>
    </xf>
    <xf numFmtId="164" fontId="3" fillId="4" borderId="0" xfId="0" applyNumberFormat="1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164" fontId="3" fillId="0" borderId="0" xfId="0" applyNumberFormat="1" applyFont="1" applyAlignment="1">
      <alignment horizontal="left" vertical="center"/>
    </xf>
    <xf numFmtId="165" fontId="3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1" fontId="4" fillId="0" borderId="0" xfId="0" applyNumberFormat="1" applyFont="1" applyAlignment="1">
      <alignment horizontal="left" vertical="center"/>
    </xf>
    <xf numFmtId="0" fontId="0" fillId="0" borderId="1" xfId="0" applyBorder="1"/>
    <xf numFmtId="0" fontId="2" fillId="3" borderId="0" xfId="0" applyFont="1" applyFill="1" applyAlignment="1">
      <alignment horizontal="left" vertical="center"/>
    </xf>
    <xf numFmtId="2" fontId="4" fillId="0" borderId="0" xfId="0" applyNumberFormat="1" applyFont="1" applyAlignment="1">
      <alignment horizontal="left" vertical="center"/>
    </xf>
    <xf numFmtId="1" fontId="3" fillId="4" borderId="0" xfId="0" applyNumberFormat="1" applyFont="1" applyFill="1" applyAlignment="1">
      <alignment horizontal="left" vertical="center"/>
    </xf>
    <xf numFmtId="166" fontId="4" fillId="0" borderId="0" xfId="0" applyNumberFormat="1" applyFont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left" vertical="center"/>
    </xf>
    <xf numFmtId="0" fontId="0" fillId="0" borderId="0" xfId="0" applyAlignment="1">
      <alignment horizontal="right" vertical="center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 applyAlignment="1">
      <alignment horizontal="right" vertical="center"/>
    </xf>
    <xf numFmtId="167" fontId="0" fillId="4" borderId="0" xfId="0" applyNumberFormat="1" applyFill="1" applyAlignment="1">
      <alignment horizontal="right" vertical="center"/>
    </xf>
    <xf numFmtId="166" fontId="0" fillId="8" borderId="0" xfId="0" applyNumberFormat="1" applyFill="1" applyAlignment="1">
      <alignment horizontal="right" vertical="center"/>
    </xf>
    <xf numFmtId="0" fontId="8" fillId="7" borderId="0" xfId="0" applyFont="1" applyFill="1" applyAlignment="1">
      <alignment horizontal="right" vertical="center"/>
    </xf>
    <xf numFmtId="168" fontId="0" fillId="4" borderId="0" xfId="0" applyNumberFormat="1" applyFill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69" fontId="0" fillId="0" borderId="0" xfId="0" applyNumberFormat="1" applyAlignment="1">
      <alignment horizontal="right" vertical="center"/>
    </xf>
    <xf numFmtId="1" fontId="0" fillId="4" borderId="0" xfId="0" applyNumberFormat="1" applyFill="1" applyAlignment="1">
      <alignment horizontal="right" vertical="center"/>
    </xf>
    <xf numFmtId="10" fontId="0" fillId="8" borderId="0" xfId="0" applyNumberFormat="1" applyFill="1" applyAlignment="1">
      <alignment horizontal="right" vertical="center"/>
    </xf>
    <xf numFmtId="167" fontId="0" fillId="7" borderId="0" xfId="0" applyNumberFormat="1" applyFill="1" applyAlignment="1">
      <alignment horizontal="right" vertical="center"/>
    </xf>
    <xf numFmtId="167" fontId="0" fillId="8" borderId="0" xfId="0" applyNumberFormat="1" applyFill="1" applyAlignment="1">
      <alignment horizontal="right" vertical="center"/>
    </xf>
    <xf numFmtId="168" fontId="0" fillId="0" borderId="0" xfId="0" applyNumberFormat="1" applyAlignment="1">
      <alignment horizontal="right" vertical="center"/>
    </xf>
    <xf numFmtId="10" fontId="0" fillId="0" borderId="0" xfId="0" applyNumberFormat="1" applyAlignment="1">
      <alignment horizontal="right" vertical="center"/>
    </xf>
    <xf numFmtId="168" fontId="0" fillId="0" borderId="0" xfId="0" applyNumberFormat="1" applyAlignment="1">
      <alignment vertical="top" wrapText="1"/>
    </xf>
    <xf numFmtId="167" fontId="0" fillId="0" borderId="0" xfId="0" applyNumberFormat="1" applyAlignment="1">
      <alignment vertical="top" wrapText="1"/>
    </xf>
    <xf numFmtId="10" fontId="0" fillId="0" borderId="0" xfId="0" applyNumberFormat="1" applyAlignment="1">
      <alignment vertical="top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0" fillId="0" borderId="0" xfId="0" applyAlignment="1">
      <alignment vertical="top" wrapText="1"/>
    </xf>
    <xf numFmtId="0" fontId="6" fillId="2" borderId="0" xfId="0" applyFont="1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0" fontId="7" fillId="2" borderId="0" xfId="0" applyFont="1" applyFill="1" applyAlignment="1">
      <alignment horizontal="left" vertical="center"/>
    </xf>
    <xf numFmtId="0" fontId="10" fillId="0" borderId="2" xfId="0" applyFont="1" applyBorder="1"/>
    <xf numFmtId="0" fontId="10" fillId="0" borderId="3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0" xfId="0" applyFont="1"/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8" xfId="0" applyFont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1" fillId="0" borderId="13" xfId="0" applyFont="1" applyBorder="1"/>
    <xf numFmtId="8" fontId="11" fillId="0" borderId="14" xfId="0" applyNumberFormat="1" applyFont="1" applyBorder="1"/>
    <xf numFmtId="8" fontId="11" fillId="0" borderId="15" xfId="0" applyNumberFormat="1" applyFont="1" applyBorder="1"/>
    <xf numFmtId="0" fontId="11" fillId="0" borderId="0" xfId="0" applyFont="1" applyBorder="1"/>
    <xf numFmtId="8" fontId="11" fillId="0" borderId="0" xfId="0" applyNumberFormat="1" applyFont="1" applyBorder="1"/>
    <xf numFmtId="169" fontId="0" fillId="0" borderId="0" xfId="0" applyNumberFormat="1"/>
    <xf numFmtId="0" fontId="12" fillId="0" borderId="6" xfId="0" applyFont="1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Border="1"/>
    <xf numFmtId="8" fontId="11" fillId="0" borderId="13" xfId="0" applyNumberFormat="1" applyFont="1" applyBorder="1"/>
    <xf numFmtId="2" fontId="11" fillId="0" borderId="0" xfId="0" applyNumberFormat="1" applyFont="1" applyBorder="1"/>
    <xf numFmtId="166" fontId="11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Absolute % price change from +1% yield shock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Part1!$K$5</c:f>
              <c:strCache>
                <c:ptCount val="1"/>
                <c:pt idx="0">
                  <c:v>Abs. % change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Part1!$A$6:$A$9</c:f>
              <c:strCache>
                <c:ptCount val="4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</c:strCache>
            </c:strRef>
          </c:cat>
          <c:val>
            <c:numRef>
              <c:f>Part1!$K$6:$K$9</c:f>
              <c:numCache>
                <c:formatCode>0.0%;[Red]\(0.0%\)</c:formatCode>
                <c:ptCount val="4"/>
                <c:pt idx="0">
                  <c:v>3.2426264562229856E-2</c:v>
                </c:pt>
                <c:pt idx="1">
                  <c:v>0.10244652067825388</c:v>
                </c:pt>
                <c:pt idx="2">
                  <c:v>0.11897977243340208</c:v>
                </c:pt>
                <c:pt idx="3">
                  <c:v>0.13355016351917537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3B-634C-B928-490688F4EF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rPr lang="en-US"/>
                  <a:t>Abs. % change</a:t>
                </a:r>
              </a:p>
            </c:rich>
          </c:tx>
          <c:overlay val="1"/>
        </c:title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lang="en-US"/>
                  <a:t>Bond</a:t>
                </a:r>
              </a:p>
            </c:rich>
          </c:tx>
          <c:overlay val="1"/>
        </c:title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9</xdr:row>
      <xdr:rowOff>0</xdr:rowOff>
    </xdr:from>
    <xdr:to>
      <xdr:col>13</xdr:col>
      <xdr:colOff>0</xdr:colOff>
      <xdr:row>21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2"/>
  <sheetViews>
    <sheetView showGridLines="0" workbookViewId="0"/>
  </sheetViews>
  <sheetFormatPr baseColWidth="10" defaultColWidth="8.83203125" defaultRowHeight="15" x14ac:dyDescent="0.2"/>
  <cols>
    <col min="1" max="1" width="4" customWidth="1"/>
    <col min="2" max="2" width="22" customWidth="1"/>
    <col min="3" max="3" width="48" customWidth="1"/>
    <col min="4" max="4" width="22" customWidth="1"/>
  </cols>
  <sheetData>
    <row r="2" spans="2:4" ht="21" x14ac:dyDescent="0.2">
      <c r="B2" s="45" t="s">
        <v>0</v>
      </c>
      <c r="C2" s="46"/>
      <c r="D2" s="46"/>
    </row>
    <row r="4" spans="2:4" x14ac:dyDescent="0.2">
      <c r="B4" s="1" t="s">
        <v>1</v>
      </c>
    </row>
    <row r="5" spans="2:4" ht="32" x14ac:dyDescent="0.2">
      <c r="B5" s="1" t="s">
        <v>2</v>
      </c>
      <c r="C5" s="2" t="s">
        <v>3</v>
      </c>
    </row>
    <row r="6" spans="2:4" ht="32" x14ac:dyDescent="0.2">
      <c r="B6" s="1" t="s">
        <v>4</v>
      </c>
      <c r="C6" s="2" t="s">
        <v>5</v>
      </c>
    </row>
    <row r="7" spans="2:4" ht="32" x14ac:dyDescent="0.2">
      <c r="B7" s="1" t="s">
        <v>6</v>
      </c>
      <c r="C7" s="2" t="s">
        <v>7</v>
      </c>
    </row>
    <row r="8" spans="2:4" ht="32" x14ac:dyDescent="0.2">
      <c r="B8" s="1" t="s">
        <v>8</v>
      </c>
      <c r="C8" s="2" t="s">
        <v>9</v>
      </c>
    </row>
    <row r="9" spans="2:4" ht="48" x14ac:dyDescent="0.2">
      <c r="B9" s="1" t="s">
        <v>10</v>
      </c>
      <c r="C9" s="2" t="s">
        <v>11</v>
      </c>
    </row>
    <row r="10" spans="2:4" ht="32" x14ac:dyDescent="0.2">
      <c r="B10" s="1" t="s">
        <v>12</v>
      </c>
      <c r="C10" s="2" t="s">
        <v>13</v>
      </c>
    </row>
    <row r="12" spans="2:4" x14ac:dyDescent="0.2">
      <c r="B12" s="1" t="s">
        <v>14</v>
      </c>
    </row>
    <row r="13" spans="2:4" x14ac:dyDescent="0.2">
      <c r="B13" s="3" t="s">
        <v>15</v>
      </c>
      <c r="C13" s="4" t="s">
        <v>16</v>
      </c>
    </row>
    <row r="14" spans="2:4" x14ac:dyDescent="0.2">
      <c r="B14" s="5" t="s">
        <v>17</v>
      </c>
      <c r="C14" s="4" t="s">
        <v>18</v>
      </c>
    </row>
    <row r="15" spans="2:4" x14ac:dyDescent="0.2">
      <c r="B15" s="6" t="s">
        <v>19</v>
      </c>
      <c r="C15" s="4" t="s">
        <v>20</v>
      </c>
    </row>
    <row r="16" spans="2:4" x14ac:dyDescent="0.2">
      <c r="B16" s="7" t="s">
        <v>21</v>
      </c>
      <c r="C16" s="4" t="s">
        <v>22</v>
      </c>
    </row>
    <row r="17" spans="2:3" x14ac:dyDescent="0.2">
      <c r="B17" s="4" t="s">
        <v>23</v>
      </c>
      <c r="C17" s="4" t="s">
        <v>24</v>
      </c>
    </row>
    <row r="20" spans="2:3" ht="32" x14ac:dyDescent="0.2">
      <c r="B20" s="1" t="s">
        <v>25</v>
      </c>
      <c r="C20" s="2" t="s">
        <v>26</v>
      </c>
    </row>
    <row r="22" spans="2:3" ht="48" x14ac:dyDescent="0.2">
      <c r="C22" s="2" t="s">
        <v>27</v>
      </c>
    </row>
  </sheetData>
  <mergeCells count="1">
    <mergeCell ref="B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"/>
  <sheetViews>
    <sheetView showGridLines="0" topLeftCell="A3" workbookViewId="0">
      <selection activeCell="G6" sqref="G6"/>
    </sheetView>
  </sheetViews>
  <sheetFormatPr baseColWidth="10" defaultColWidth="8.83203125" defaultRowHeight="15" x14ac:dyDescent="0.2"/>
  <cols>
    <col min="1" max="1" width="10" customWidth="1"/>
    <col min="2" max="2" width="13" customWidth="1"/>
    <col min="3" max="3" width="14" customWidth="1"/>
    <col min="4" max="6" width="12" customWidth="1"/>
    <col min="7" max="7" width="16" customWidth="1"/>
    <col min="8" max="8" width="14" customWidth="1"/>
    <col min="9" max="9" width="18" customWidth="1"/>
    <col min="10" max="10" width="15" customWidth="1"/>
    <col min="11" max="12" width="14" customWidth="1"/>
    <col min="14" max="14" width="14" customWidth="1"/>
    <col min="15" max="15" width="48" customWidth="1"/>
  </cols>
  <sheetData>
    <row r="1" spans="1:15" ht="21" x14ac:dyDescent="0.2">
      <c r="A1" s="45" t="s">
        <v>28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</row>
    <row r="3" spans="1:15" ht="128" x14ac:dyDescent="0.2">
      <c r="A3" s="4" t="s">
        <v>29</v>
      </c>
      <c r="B3" s="8" t="s">
        <v>30</v>
      </c>
      <c r="N3" s="4" t="s">
        <v>31</v>
      </c>
      <c r="O3" s="4" t="s">
        <v>32</v>
      </c>
    </row>
    <row r="4" spans="1:15" x14ac:dyDescent="0.2">
      <c r="N4" s="9">
        <v>0.01</v>
      </c>
    </row>
    <row r="5" spans="1:15" x14ac:dyDescent="0.2">
      <c r="A5" s="10" t="s">
        <v>33</v>
      </c>
      <c r="B5" s="10" t="s">
        <v>34</v>
      </c>
      <c r="C5" s="10" t="s">
        <v>35</v>
      </c>
      <c r="D5" s="10" t="s">
        <v>36</v>
      </c>
      <c r="E5" s="10" t="s">
        <v>37</v>
      </c>
      <c r="F5" s="10" t="s">
        <v>38</v>
      </c>
      <c r="G5" s="10" t="s">
        <v>39</v>
      </c>
      <c r="H5" s="10" t="s">
        <v>40</v>
      </c>
      <c r="I5" s="10" t="s">
        <v>41</v>
      </c>
      <c r="J5" s="10" t="s">
        <v>42</v>
      </c>
      <c r="K5" s="10" t="s">
        <v>43</v>
      </c>
      <c r="L5" s="10" t="s">
        <v>44</v>
      </c>
    </row>
    <row r="6" spans="1:15" ht="16" x14ac:dyDescent="0.2">
      <c r="A6" s="3" t="s">
        <v>45</v>
      </c>
      <c r="B6" s="11">
        <v>0.09</v>
      </c>
      <c r="C6" s="3">
        <v>4</v>
      </c>
      <c r="D6" s="11">
        <v>7.0000000000000007E-2</v>
      </c>
      <c r="E6" s="12">
        <v>1000</v>
      </c>
      <c r="F6" s="13">
        <f>B6*E6</f>
        <v>90</v>
      </c>
      <c r="G6" s="13">
        <f>-PV(D6,C6,F6,E6)</f>
        <v>1067.7442251292784</v>
      </c>
      <c r="H6" s="14">
        <f>D6+$N$4</f>
        <v>0.08</v>
      </c>
      <c r="I6" s="13">
        <f>-PV(H6,C6,F6,E6)</f>
        <v>1033.1212684004433</v>
      </c>
      <c r="J6" s="14">
        <f>I6/G6-1</f>
        <v>-3.2426264562229856E-2</v>
      </c>
      <c r="K6" s="14">
        <f>ABS(J6)</f>
        <v>3.2426264562229856E-2</v>
      </c>
      <c r="L6" s="15">
        <f>RANK(K6,$K$6:$K$9,0)</f>
        <v>4</v>
      </c>
      <c r="N6" s="1" t="s">
        <v>46</v>
      </c>
      <c r="O6" s="2" t="str">
        <f>INDEX($A$6:$A$9,MATCH(MAX($K$6:$K$9),$K$6:$K$9,0))</f>
        <v>D</v>
      </c>
    </row>
    <row r="7" spans="1:15" ht="16" x14ac:dyDescent="0.2">
      <c r="A7" s="3" t="s">
        <v>47</v>
      </c>
      <c r="B7" s="11">
        <v>0.09</v>
      </c>
      <c r="C7" s="3">
        <v>25</v>
      </c>
      <c r="D7" s="11">
        <v>7.0000000000000007E-2</v>
      </c>
      <c r="E7" s="12">
        <v>1000</v>
      </c>
      <c r="F7" s="13">
        <f>B7*E7</f>
        <v>90</v>
      </c>
      <c r="G7" s="13">
        <f>-PV(D7,C7,F7,E7)</f>
        <v>1233.0716635650742</v>
      </c>
      <c r="H7" s="14">
        <f>D7+$N$4</f>
        <v>0.08</v>
      </c>
      <c r="I7" s="13">
        <f>-PV(H7,C7,F7,E7)</f>
        <v>1106.7477618858859</v>
      </c>
      <c r="J7" s="14">
        <f>I7/G7-1</f>
        <v>-0.10244652067825388</v>
      </c>
      <c r="K7" s="14">
        <f>ABS(J7)</f>
        <v>0.10244652067825388</v>
      </c>
      <c r="L7" s="15">
        <f>RANK(K7,$K$6:$K$9,0)</f>
        <v>3</v>
      </c>
      <c r="N7" s="1" t="s">
        <v>48</v>
      </c>
      <c r="O7" s="2" t="str">
        <f>INDEX($A$6:$A$9,MATCH(MIN($K$6:$K$9),$K$6:$K$9,0))</f>
        <v>A</v>
      </c>
    </row>
    <row r="8" spans="1:15" ht="36" customHeight="1" x14ac:dyDescent="0.2">
      <c r="A8" s="3" t="s">
        <v>49</v>
      </c>
      <c r="B8" s="11">
        <v>0.04</v>
      </c>
      <c r="C8" s="3">
        <v>25</v>
      </c>
      <c r="D8" s="11">
        <v>7.0000000000000007E-2</v>
      </c>
      <c r="E8" s="12">
        <v>1000</v>
      </c>
      <c r="F8" s="13">
        <f>B8*E8</f>
        <v>40</v>
      </c>
      <c r="G8" s="13">
        <f>-PV(D8,C8,F8,E8)</f>
        <v>650.39250465238831</v>
      </c>
      <c r="H8" s="14">
        <f>D8+$N$4</f>
        <v>0.08</v>
      </c>
      <c r="I8" s="13">
        <f>-PV(H8,C8,F8,E8)</f>
        <v>573.00895245645677</v>
      </c>
      <c r="J8" s="14">
        <f>I8/G8-1</f>
        <v>-0.11897977243340208</v>
      </c>
      <c r="K8" s="14">
        <f>ABS(J8)</f>
        <v>0.11897977243340208</v>
      </c>
      <c r="L8" s="15">
        <f>RANK(K8,$K$6:$K$9,0)</f>
        <v>2</v>
      </c>
      <c r="N8" s="1" t="s">
        <v>50</v>
      </c>
      <c r="O8" s="2" t="s">
        <v>51</v>
      </c>
    </row>
    <row r="9" spans="1:15" x14ac:dyDescent="0.2">
      <c r="A9" s="3" t="s">
        <v>52</v>
      </c>
      <c r="B9" s="11">
        <v>0.04</v>
      </c>
      <c r="C9" s="3">
        <v>25</v>
      </c>
      <c r="D9" s="11">
        <v>0.05</v>
      </c>
      <c r="E9" s="12">
        <v>1000</v>
      </c>
      <c r="F9" s="13">
        <f>B9*E9</f>
        <v>40</v>
      </c>
      <c r="G9" s="13">
        <f>-PV(D9,C9,F9,E9)</f>
        <v>859.06055433955237</v>
      </c>
      <c r="H9" s="14">
        <f>D9+$N$4</f>
        <v>6.0000000000000005E-2</v>
      </c>
      <c r="I9" s="13">
        <f>-PV(H9,C9,F9,E9)</f>
        <v>744.33287683463175</v>
      </c>
      <c r="J9" s="14">
        <f>I9/G9-1</f>
        <v>-0.13355016351917537</v>
      </c>
      <c r="K9" s="14">
        <f>ABS(J9)</f>
        <v>0.13355016351917537</v>
      </c>
      <c r="L9" s="15">
        <f>RANK(K9,$K$6:$K$9,0)</f>
        <v>1</v>
      </c>
    </row>
    <row r="10" spans="1:15" x14ac:dyDescent="0.2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</sheetData>
  <mergeCells count="1">
    <mergeCell ref="A1:O1"/>
  </mergeCells>
  <conditionalFormatting sqref="J6:J9">
    <cfRule type="dataBar" priority="1">
      <dataBar>
        <cfvo type="num" val="0"/>
        <cfvo type="num" val="0.15"/>
        <color rgb="FF5B9BD5"/>
      </dataBar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DACD5-C81B-844D-ABE0-62870210C55A}">
  <dimension ref="A1:Q74"/>
  <sheetViews>
    <sheetView workbookViewId="0">
      <selection sqref="A1:XFD1048576"/>
    </sheetView>
  </sheetViews>
  <sheetFormatPr baseColWidth="10" defaultRowHeight="15" x14ac:dyDescent="0.2"/>
  <cols>
    <col min="1" max="1" width="25.33203125" bestFit="1" customWidth="1"/>
    <col min="2" max="2" width="13.1640625" bestFit="1" customWidth="1"/>
    <col min="3" max="3" width="19.83203125" bestFit="1" customWidth="1"/>
    <col min="4" max="4" width="13.1640625" bestFit="1" customWidth="1"/>
    <col min="5" max="5" width="16.5" bestFit="1" customWidth="1"/>
    <col min="6" max="6" width="9.6640625" bestFit="1" customWidth="1"/>
    <col min="7" max="7" width="19.6640625" bestFit="1" customWidth="1"/>
    <col min="8" max="8" width="12.1640625" bestFit="1" customWidth="1"/>
    <col min="9" max="9" width="16.33203125" bestFit="1" customWidth="1"/>
    <col min="10" max="10" width="9.6640625" bestFit="1" customWidth="1"/>
    <col min="11" max="11" width="19.6640625" bestFit="1" customWidth="1"/>
    <col min="12" max="12" width="12.1640625" bestFit="1" customWidth="1"/>
    <col min="13" max="13" width="16.33203125" bestFit="1" customWidth="1"/>
  </cols>
  <sheetData>
    <row r="1" spans="1:17" x14ac:dyDescent="0.2">
      <c r="B1" t="s">
        <v>188</v>
      </c>
      <c r="C1" t="s">
        <v>189</v>
      </c>
      <c r="D1" t="s">
        <v>190</v>
      </c>
      <c r="E1" t="s">
        <v>191</v>
      </c>
    </row>
    <row r="2" spans="1:17" x14ac:dyDescent="0.2">
      <c r="A2" t="s">
        <v>82</v>
      </c>
      <c r="B2">
        <v>4</v>
      </c>
      <c r="C2">
        <v>25</v>
      </c>
      <c r="D2">
        <v>25</v>
      </c>
      <c r="E2">
        <v>25</v>
      </c>
    </row>
    <row r="3" spans="1:17" x14ac:dyDescent="0.2">
      <c r="A3" t="s">
        <v>34</v>
      </c>
      <c r="B3">
        <v>0.09</v>
      </c>
      <c r="C3">
        <v>0.09</v>
      </c>
      <c r="D3">
        <v>0.04</v>
      </c>
      <c r="E3">
        <v>0.04</v>
      </c>
    </row>
    <row r="4" spans="1:17" x14ac:dyDescent="0.2">
      <c r="A4" t="s">
        <v>36</v>
      </c>
      <c r="B4">
        <v>7.0000000000000007E-2</v>
      </c>
      <c r="C4">
        <v>7.0000000000000007E-2</v>
      </c>
      <c r="D4">
        <v>7.0000000000000007E-2</v>
      </c>
      <c r="E4">
        <v>0.05</v>
      </c>
    </row>
    <row r="5" spans="1:17" ht="16" thickBot="1" x14ac:dyDescent="0.25">
      <c r="A5" t="s">
        <v>192</v>
      </c>
      <c r="B5">
        <v>1000</v>
      </c>
      <c r="C5">
        <v>1000</v>
      </c>
      <c r="D5">
        <v>1000</v>
      </c>
      <c r="E5">
        <v>1000</v>
      </c>
    </row>
    <row r="6" spans="1:17" ht="16" thickBot="1" x14ac:dyDescent="0.25">
      <c r="A6" s="69" t="s">
        <v>63</v>
      </c>
      <c r="B6" s="70">
        <f>-PV(B4/2,B2*2,B3/2*B5,B5)</f>
        <v>1068.7395553667857</v>
      </c>
      <c r="C6" s="70">
        <f t="shared" ref="C6:E6" si="0">-PV(C4/2,C2*2,C3/2*C5,C5)</f>
        <v>1234.5561787062124</v>
      </c>
      <c r="D6" s="70">
        <f t="shared" si="0"/>
        <v>648.1657319406811</v>
      </c>
      <c r="E6" s="71">
        <f t="shared" si="0"/>
        <v>858.18844159728815</v>
      </c>
    </row>
    <row r="7" spans="1:17" x14ac:dyDescent="0.2">
      <c r="A7" s="72" t="s">
        <v>200</v>
      </c>
      <c r="B7" s="73">
        <f>-PV((B4+0.01)/2,B2*2,B3/2*B5,B5)</f>
        <v>1033.6637243747521</v>
      </c>
      <c r="C7" s="73">
        <f t="shared" ref="C7:E7" si="1">-PV((C4+0.01)/2,C2*2,C3/2*C5,C5)</f>
        <v>1107.4109230833451</v>
      </c>
      <c r="D7" s="73">
        <f t="shared" si="1"/>
        <v>570.35630766661973</v>
      </c>
      <c r="E7" s="73">
        <f t="shared" si="1"/>
        <v>742.70235992991798</v>
      </c>
    </row>
    <row r="8" spans="1:17" x14ac:dyDescent="0.2">
      <c r="A8" t="s">
        <v>193</v>
      </c>
      <c r="B8">
        <f>SUM(E15:E74)/2/(1+B4/2)</f>
        <v>3.3501349472416848</v>
      </c>
      <c r="C8">
        <f>SUM(I15:I74)/2/(1+C4/2)</f>
        <v>11.212862289455115</v>
      </c>
      <c r="D8">
        <f>SUM(M15:M74)/2/(1+D4/2)</f>
        <v>13.199031182994615</v>
      </c>
      <c r="E8">
        <f>SUM(Q15:Q74)/2/(1+E4/2)</f>
        <v>14.873370854681497</v>
      </c>
    </row>
    <row r="9" spans="1:17" x14ac:dyDescent="0.2">
      <c r="A9" t="s">
        <v>199</v>
      </c>
      <c r="B9" s="74">
        <f>B7/B6-1</f>
        <v>-3.2819811726717441E-2</v>
      </c>
      <c r="C9" s="74">
        <f t="shared" ref="C9:E9" si="2">C7/C6-1</f>
        <v>-0.10298863495714938</v>
      </c>
      <c r="D9" s="74">
        <f t="shared" si="2"/>
        <v>-0.12004556927298704</v>
      </c>
      <c r="E9" s="74">
        <f t="shared" si="2"/>
        <v>-0.13456960740746371</v>
      </c>
    </row>
    <row r="10" spans="1:17" x14ac:dyDescent="0.2">
      <c r="A10" t="s">
        <v>197</v>
      </c>
      <c r="B10" s="74">
        <f>-B8*0.01</f>
        <v>-3.3501349472416848E-2</v>
      </c>
      <c r="C10" s="74">
        <f t="shared" ref="C10:E10" si="3">-C8*0.01</f>
        <v>-0.11212862289455115</v>
      </c>
      <c r="D10" s="74">
        <f t="shared" si="3"/>
        <v>-0.13199031182994614</v>
      </c>
      <c r="E10" s="74">
        <f t="shared" si="3"/>
        <v>-0.14873370854681497</v>
      </c>
    </row>
    <row r="11" spans="1:17" x14ac:dyDescent="0.2">
      <c r="A11" t="s">
        <v>198</v>
      </c>
      <c r="D11" s="74">
        <f>D10+1/2*254*0.01^2</f>
        <v>-0.11929031182994614</v>
      </c>
      <c r="E11" s="74">
        <f>E10+1/2*305*0.01^2</f>
        <v>-0.13348370854681496</v>
      </c>
    </row>
    <row r="12" spans="1:17" ht="16" thickBot="1" x14ac:dyDescent="0.25"/>
    <row r="13" spans="1:17" s="57" customFormat="1" ht="16" x14ac:dyDescent="0.2">
      <c r="A13" s="53"/>
      <c r="B13" s="54" t="s">
        <v>188</v>
      </c>
      <c r="C13" s="55"/>
      <c r="D13" s="55"/>
      <c r="E13" s="56"/>
      <c r="F13" s="54" t="s">
        <v>189</v>
      </c>
      <c r="G13" s="55"/>
      <c r="H13" s="55"/>
      <c r="I13" s="56"/>
      <c r="J13" s="54" t="s">
        <v>190</v>
      </c>
      <c r="K13" s="55"/>
      <c r="L13" s="55"/>
      <c r="M13" s="56"/>
      <c r="N13" s="54" t="s">
        <v>191</v>
      </c>
      <c r="O13" s="55"/>
      <c r="P13" s="55"/>
      <c r="Q13" s="56"/>
    </row>
    <row r="14" spans="1:17" ht="16" x14ac:dyDescent="0.2">
      <c r="A14" s="58" t="s">
        <v>67</v>
      </c>
      <c r="B14" s="59" t="s">
        <v>194</v>
      </c>
      <c r="C14" s="60" t="s">
        <v>195</v>
      </c>
      <c r="D14" s="60" t="s">
        <v>71</v>
      </c>
      <c r="E14" s="61" t="s">
        <v>196</v>
      </c>
      <c r="F14" s="59" t="s">
        <v>194</v>
      </c>
      <c r="G14" s="60" t="s">
        <v>195</v>
      </c>
      <c r="H14" s="60" t="s">
        <v>71</v>
      </c>
      <c r="I14" s="61" t="s">
        <v>196</v>
      </c>
      <c r="J14" s="59" t="s">
        <v>194</v>
      </c>
      <c r="K14" s="60" t="s">
        <v>195</v>
      </c>
      <c r="L14" s="60" t="s">
        <v>71</v>
      </c>
      <c r="M14" s="61" t="s">
        <v>196</v>
      </c>
      <c r="N14" s="59" t="s">
        <v>194</v>
      </c>
      <c r="O14" s="60" t="s">
        <v>195</v>
      </c>
      <c r="P14" s="60" t="s">
        <v>71</v>
      </c>
      <c r="Q14" s="61" t="s">
        <v>196</v>
      </c>
    </row>
    <row r="15" spans="1:17" x14ac:dyDescent="0.2">
      <c r="A15" s="62">
        <v>1</v>
      </c>
      <c r="B15" s="63">
        <f>IF(A15=2*$B$2, $B$5 + $B$3/2*$B$5, IF(A15&gt;2*$B$2,0, $B$3/2*$B$5))</f>
        <v>45</v>
      </c>
      <c r="C15">
        <f>B15/(1+$B$4/2)^A15</f>
        <v>43.478260869565219</v>
      </c>
      <c r="D15">
        <f>C15/SUM($C$15:$C$74)</f>
        <v>4.0681811252549452E-2</v>
      </c>
      <c r="E15" s="64">
        <f>D15*A15</f>
        <v>4.0681811252549452E-2</v>
      </c>
      <c r="F15" s="63">
        <f>IF(A15=2*$C$2, $C$5 + $C$3/2*$C$5, IF(A15&gt;2*$C$2,0, $C$3/2*$C$5))</f>
        <v>45</v>
      </c>
      <c r="G15">
        <f>F15/(1+$C$4/2)^$A15</f>
        <v>43.478260869565219</v>
      </c>
      <c r="H15">
        <f>G15/SUM($G$15:$G$74)</f>
        <v>3.5217725705386185E-2</v>
      </c>
      <c r="I15" s="64">
        <f>H15*A15</f>
        <v>3.5217725705386185E-2</v>
      </c>
      <c r="J15" s="63">
        <f>IF(A15=2*$D$2, $D$5 + $D$3/2*$D$5, IF(A15&gt;2*$D$2,0, $D$3/2*$D$5))</f>
        <v>20</v>
      </c>
      <c r="K15">
        <f>J15/(1+$D$4/2)^A15</f>
        <v>19.323671497584542</v>
      </c>
      <c r="L15">
        <f>K15/SUM($K$15:$K$74)</f>
        <v>2.9812855794963518E-2</v>
      </c>
      <c r="M15" s="64">
        <f>L15*A15</f>
        <v>2.9812855794963518E-2</v>
      </c>
      <c r="N15" s="63">
        <f>IF(A15=2*$E$2, $E$5 + $E$3/2*$E$5, IF(A15&gt;2*$E$2,0, $E$3/2*$E$5))</f>
        <v>20</v>
      </c>
      <c r="O15">
        <f>N15/(1+$E$4/2)^A15</f>
        <v>19.512195121951223</v>
      </c>
      <c r="P15">
        <f>O15/SUM($O$15:$O$74)</f>
        <v>2.2736492565239467E-2</v>
      </c>
      <c r="Q15" s="64">
        <f>P15*A15</f>
        <v>2.2736492565239467E-2</v>
      </c>
    </row>
    <row r="16" spans="1:17" x14ac:dyDescent="0.2">
      <c r="A16" s="62">
        <v>2</v>
      </c>
      <c r="B16" s="63">
        <f t="shared" ref="B16:B74" si="4">IF(A16=2*$B$2, $B$5 + $B$3/2*$B$5, IF(A16&gt;2*$B$2,0, $B$3/2*$B$5))</f>
        <v>45</v>
      </c>
      <c r="C16">
        <f t="shared" ref="C16:C74" si="5">B16/(1+$B$4/2)^A16</f>
        <v>42.007981516488137</v>
      </c>
      <c r="D16">
        <f t="shared" ref="D16:D74" si="6">C16/SUM($C$15:$C$74)</f>
        <v>3.9306097828550199E-2</v>
      </c>
      <c r="E16" s="64">
        <f t="shared" ref="E16:E74" si="7">D16*A16</f>
        <v>7.8612195657100398E-2</v>
      </c>
      <c r="F16" s="63">
        <f t="shared" ref="F16:F74" si="8">IF(A16=2*$C$2, $C$5 + $C$3/2*$C$5, IF(A16&gt;2*$C$2,0, $C$3/2*$C$5))</f>
        <v>45</v>
      </c>
      <c r="G16">
        <f t="shared" ref="G16:G74" si="9">F16/(1+$C$4/2)^$A16</f>
        <v>42.007981516488137</v>
      </c>
      <c r="H16">
        <f t="shared" ref="H16:H74" si="10">G16/SUM($G$15:$G$74)</f>
        <v>3.4026788121146075E-2</v>
      </c>
      <c r="I16" s="64">
        <f t="shared" ref="I16:I74" si="11">H16*A16</f>
        <v>6.8053576242292149E-2</v>
      </c>
      <c r="J16" s="63">
        <f t="shared" ref="J16:J74" si="12">IF(A16=2*$D$2, $D$5 + $D$3/2*$D$5, IF(A16&gt;2*$D$2,0, $D$3/2*$D$5))</f>
        <v>20</v>
      </c>
      <c r="K16">
        <f t="shared" ref="K16:K74" si="13">J16/(1+$D$4/2)^A16</f>
        <v>18.67021400732806</v>
      </c>
      <c r="L16">
        <f t="shared" ref="L16:L74" si="14">K16/SUM($K$15:$K$74)</f>
        <v>2.8804691589336733E-2</v>
      </c>
      <c r="M16" s="64">
        <f t="shared" ref="M16:M74" si="15">L16*A16</f>
        <v>5.7609383178673465E-2</v>
      </c>
      <c r="N16" s="63">
        <f t="shared" ref="N16:N74" si="16">IF(A16=2*$E$2, $E$5 + $E$3/2*$E$5, IF(A16&gt;2*$E$2,0, $E$3/2*$E$5))</f>
        <v>20</v>
      </c>
      <c r="O16">
        <f t="shared" ref="O16:O74" si="17">N16/(1+$E$4/2)^A16</f>
        <v>19.03628792385485</v>
      </c>
      <c r="P16">
        <f t="shared" ref="P16:P74" si="18">O16/SUM($O$15:$O$74)</f>
        <v>2.2181943966087282E-2</v>
      </c>
      <c r="Q16" s="64">
        <f t="shared" ref="Q16:Q74" si="19">P16*A16</f>
        <v>4.4363887932174564E-2</v>
      </c>
    </row>
    <row r="17" spans="1:17" x14ac:dyDescent="0.2">
      <c r="A17" s="62">
        <v>3</v>
      </c>
      <c r="B17" s="63">
        <f t="shared" si="4"/>
        <v>45</v>
      </c>
      <c r="C17">
        <f t="shared" si="5"/>
        <v>40.587421755061008</v>
      </c>
      <c r="D17">
        <f t="shared" si="6"/>
        <v>3.7976906114541263E-2</v>
      </c>
      <c r="E17" s="64">
        <f t="shared" si="7"/>
        <v>0.11393071834362378</v>
      </c>
      <c r="F17" s="63">
        <f t="shared" si="8"/>
        <v>45</v>
      </c>
      <c r="G17">
        <f t="shared" si="9"/>
        <v>40.587421755061008</v>
      </c>
      <c r="H17">
        <f t="shared" si="10"/>
        <v>3.2876123788546943E-2</v>
      </c>
      <c r="I17" s="64">
        <f t="shared" si="11"/>
        <v>9.862837136564083E-2</v>
      </c>
      <c r="J17" s="63">
        <f t="shared" si="12"/>
        <v>20</v>
      </c>
      <c r="K17">
        <f t="shared" si="13"/>
        <v>18.038854113360447</v>
      </c>
      <c r="L17">
        <f t="shared" si="14"/>
        <v>2.7830619893078973E-2</v>
      </c>
      <c r="M17" s="64">
        <f t="shared" si="15"/>
        <v>8.3491859679236918E-2</v>
      </c>
      <c r="N17" s="63">
        <f t="shared" si="16"/>
        <v>20</v>
      </c>
      <c r="O17">
        <f t="shared" si="17"/>
        <v>18.571988218394974</v>
      </c>
      <c r="P17">
        <f t="shared" si="18"/>
        <v>2.1640920942524178E-2</v>
      </c>
      <c r="Q17" s="64">
        <f t="shared" si="19"/>
        <v>6.4922762827572533E-2</v>
      </c>
    </row>
    <row r="18" spans="1:17" x14ac:dyDescent="0.2">
      <c r="A18" s="62">
        <v>4</v>
      </c>
      <c r="B18" s="63">
        <f t="shared" si="4"/>
        <v>45</v>
      </c>
      <c r="C18">
        <f t="shared" si="5"/>
        <v>39.214900246435761</v>
      </c>
      <c r="D18">
        <f t="shared" si="6"/>
        <v>3.6692662912600253E-2</v>
      </c>
      <c r="E18" s="64">
        <f t="shared" si="7"/>
        <v>0.14677065165040101</v>
      </c>
      <c r="F18" s="63">
        <f t="shared" si="8"/>
        <v>45</v>
      </c>
      <c r="G18">
        <f t="shared" si="9"/>
        <v>39.214900246435761</v>
      </c>
      <c r="H18">
        <f t="shared" si="10"/>
        <v>3.1764370810190283E-2</v>
      </c>
      <c r="I18" s="64">
        <f t="shared" si="11"/>
        <v>0.12705748324076113</v>
      </c>
      <c r="J18" s="63">
        <f t="shared" si="12"/>
        <v>20</v>
      </c>
      <c r="K18">
        <f t="shared" si="13"/>
        <v>17.428844553971448</v>
      </c>
      <c r="L18">
        <f t="shared" si="14"/>
        <v>2.6889487819399975E-2</v>
      </c>
      <c r="M18" s="64">
        <f t="shared" si="15"/>
        <v>0.1075579512775999</v>
      </c>
      <c r="N18" s="63">
        <f t="shared" si="16"/>
        <v>20</v>
      </c>
      <c r="O18">
        <f t="shared" si="17"/>
        <v>18.119012895995102</v>
      </c>
      <c r="P18">
        <f t="shared" si="18"/>
        <v>2.1113093602462617E-2</v>
      </c>
      <c r="Q18" s="64">
        <f t="shared" si="19"/>
        <v>8.445237440985047E-2</v>
      </c>
    </row>
    <row r="19" spans="1:17" x14ac:dyDescent="0.2">
      <c r="A19" s="62">
        <v>5</v>
      </c>
      <c r="B19" s="63">
        <f t="shared" si="4"/>
        <v>45</v>
      </c>
      <c r="C19">
        <f t="shared" si="5"/>
        <v>37.888792508633585</v>
      </c>
      <c r="D19">
        <f t="shared" si="6"/>
        <v>3.5451848224734545E-2</v>
      </c>
      <c r="E19" s="64">
        <f t="shared" si="7"/>
        <v>0.17725924112367272</v>
      </c>
      <c r="F19" s="63">
        <f t="shared" si="8"/>
        <v>45</v>
      </c>
      <c r="G19">
        <f t="shared" si="9"/>
        <v>37.888792508633585</v>
      </c>
      <c r="H19">
        <f t="shared" si="10"/>
        <v>3.0690213343179017E-2</v>
      </c>
      <c r="I19" s="64">
        <f t="shared" si="11"/>
        <v>0.15345106671589509</v>
      </c>
      <c r="J19" s="63">
        <f t="shared" si="12"/>
        <v>20</v>
      </c>
      <c r="K19">
        <f t="shared" si="13"/>
        <v>16.839463337170482</v>
      </c>
      <c r="L19">
        <f t="shared" si="14"/>
        <v>2.5980181468019302E-2</v>
      </c>
      <c r="M19" s="64">
        <f t="shared" si="15"/>
        <v>0.12990090734009652</v>
      </c>
      <c r="N19" s="63">
        <f t="shared" si="16"/>
        <v>20</v>
      </c>
      <c r="O19">
        <f t="shared" si="17"/>
        <v>17.677085752190344</v>
      </c>
      <c r="P19">
        <f t="shared" si="18"/>
        <v>2.0598140099963531E-2</v>
      </c>
      <c r="Q19" s="64">
        <f t="shared" si="19"/>
        <v>0.10299070049981765</v>
      </c>
    </row>
    <row r="20" spans="1:17" x14ac:dyDescent="0.2">
      <c r="A20" s="62">
        <v>6</v>
      </c>
      <c r="B20" s="63">
        <f t="shared" si="4"/>
        <v>45</v>
      </c>
      <c r="C20">
        <f t="shared" si="5"/>
        <v>36.607528993848874</v>
      </c>
      <c r="D20">
        <f t="shared" si="6"/>
        <v>3.42529934538498E-2</v>
      </c>
      <c r="E20" s="64">
        <f t="shared" si="7"/>
        <v>0.2055179607230988</v>
      </c>
      <c r="F20" s="63">
        <f t="shared" si="8"/>
        <v>45</v>
      </c>
      <c r="G20">
        <f t="shared" si="9"/>
        <v>36.607528993848874</v>
      </c>
      <c r="H20">
        <f t="shared" si="10"/>
        <v>2.9652380041718857E-2</v>
      </c>
      <c r="I20" s="64">
        <f t="shared" si="11"/>
        <v>0.17791428025031314</v>
      </c>
      <c r="J20" s="63">
        <f t="shared" si="12"/>
        <v>20</v>
      </c>
      <c r="K20">
        <f t="shared" si="13"/>
        <v>16.270012886155055</v>
      </c>
      <c r="L20">
        <f t="shared" si="14"/>
        <v>2.5101624606781933E-2</v>
      </c>
      <c r="M20" s="64">
        <f t="shared" si="15"/>
        <v>0.1506097476406916</v>
      </c>
      <c r="N20" s="63">
        <f t="shared" si="16"/>
        <v>20</v>
      </c>
      <c r="O20">
        <f t="shared" si="17"/>
        <v>17.245937319210093</v>
      </c>
      <c r="P20">
        <f t="shared" si="18"/>
        <v>2.0095746438988812E-2</v>
      </c>
      <c r="Q20" s="64">
        <f t="shared" si="19"/>
        <v>0.12057447863393286</v>
      </c>
    </row>
    <row r="21" spans="1:17" x14ac:dyDescent="0.2">
      <c r="A21" s="62">
        <v>7</v>
      </c>
      <c r="B21" s="63">
        <f t="shared" si="4"/>
        <v>45</v>
      </c>
      <c r="C21">
        <f t="shared" si="5"/>
        <v>35.369593230771862</v>
      </c>
      <c r="D21">
        <f t="shared" si="6"/>
        <v>3.309467966555537E-2</v>
      </c>
      <c r="E21" s="64">
        <f t="shared" si="7"/>
        <v>0.23166275765888758</v>
      </c>
      <c r="F21" s="63">
        <f t="shared" si="8"/>
        <v>45</v>
      </c>
      <c r="G21">
        <f t="shared" si="9"/>
        <v>35.369593230771862</v>
      </c>
      <c r="H21">
        <f t="shared" si="10"/>
        <v>2.8649642552385373E-2</v>
      </c>
      <c r="I21" s="64">
        <f t="shared" si="11"/>
        <v>0.20054749786669762</v>
      </c>
      <c r="J21" s="63">
        <f t="shared" si="12"/>
        <v>20</v>
      </c>
      <c r="K21">
        <f t="shared" si="13"/>
        <v>15.719819213676383</v>
      </c>
      <c r="L21">
        <f t="shared" si="14"/>
        <v>2.4252777397856942E-2</v>
      </c>
      <c r="M21" s="64">
        <f t="shared" si="15"/>
        <v>0.16976944178499859</v>
      </c>
      <c r="N21" s="63">
        <f t="shared" si="16"/>
        <v>20</v>
      </c>
      <c r="O21">
        <f t="shared" si="17"/>
        <v>16.825304701668383</v>
      </c>
      <c r="P21">
        <f t="shared" si="18"/>
        <v>1.9605606281940302E-2</v>
      </c>
      <c r="Q21" s="64">
        <f t="shared" si="19"/>
        <v>0.13723924397358211</v>
      </c>
    </row>
    <row r="22" spans="1:17" x14ac:dyDescent="0.2">
      <c r="A22" s="62">
        <v>8</v>
      </c>
      <c r="B22" s="63">
        <f t="shared" si="4"/>
        <v>1045</v>
      </c>
      <c r="C22">
        <f t="shared" si="5"/>
        <v>793.58507624598178</v>
      </c>
      <c r="D22">
        <f t="shared" si="6"/>
        <v>0.74254300054761924</v>
      </c>
      <c r="E22" s="64">
        <f t="shared" si="7"/>
        <v>5.9403440043809539</v>
      </c>
      <c r="F22" s="63">
        <f t="shared" si="8"/>
        <v>45</v>
      </c>
      <c r="G22">
        <f t="shared" si="9"/>
        <v>34.173520029731272</v>
      </c>
      <c r="H22">
        <f t="shared" si="10"/>
        <v>2.7680814060275723E-2</v>
      </c>
      <c r="I22" s="64">
        <f t="shared" si="11"/>
        <v>0.22144651248220579</v>
      </c>
      <c r="J22" s="63">
        <f t="shared" si="12"/>
        <v>20</v>
      </c>
      <c r="K22">
        <f t="shared" si="13"/>
        <v>15.188231124325011</v>
      </c>
      <c r="L22">
        <f t="shared" si="14"/>
        <v>2.3432635167011544E-2</v>
      </c>
      <c r="M22" s="64">
        <f t="shared" si="15"/>
        <v>0.18746108133609235</v>
      </c>
      <c r="N22" s="63">
        <f t="shared" si="16"/>
        <v>20</v>
      </c>
      <c r="O22">
        <f t="shared" si="17"/>
        <v>16.414931416261837</v>
      </c>
      <c r="P22">
        <f t="shared" si="18"/>
        <v>1.9127420762868587E-2</v>
      </c>
      <c r="Q22" s="64">
        <f t="shared" si="19"/>
        <v>0.1530193661029487</v>
      </c>
    </row>
    <row r="23" spans="1:17" x14ac:dyDescent="0.2">
      <c r="A23" s="62">
        <v>9</v>
      </c>
      <c r="B23" s="63">
        <f t="shared" si="4"/>
        <v>0</v>
      </c>
      <c r="C23">
        <f t="shared" si="5"/>
        <v>0</v>
      </c>
      <c r="D23">
        <f t="shared" si="6"/>
        <v>0</v>
      </c>
      <c r="E23" s="64">
        <f t="shared" si="7"/>
        <v>0</v>
      </c>
      <c r="F23" s="63">
        <f t="shared" si="8"/>
        <v>45</v>
      </c>
      <c r="G23">
        <f t="shared" si="9"/>
        <v>33.017893748532636</v>
      </c>
      <c r="H23">
        <f t="shared" si="10"/>
        <v>2.6744747884324377E-2</v>
      </c>
      <c r="I23" s="64">
        <f t="shared" si="11"/>
        <v>0.24070273095891939</v>
      </c>
      <c r="J23" s="63">
        <f t="shared" si="12"/>
        <v>20</v>
      </c>
      <c r="K23">
        <f t="shared" si="13"/>
        <v>14.674619443792283</v>
      </c>
      <c r="L23">
        <f t="shared" si="14"/>
        <v>2.264022721450391E-2</v>
      </c>
      <c r="M23" s="64">
        <f t="shared" si="15"/>
        <v>0.20376204493053518</v>
      </c>
      <c r="N23" s="63">
        <f t="shared" si="16"/>
        <v>20</v>
      </c>
      <c r="O23">
        <f t="shared" si="17"/>
        <v>16.014567235377406</v>
      </c>
      <c r="P23">
        <f t="shared" si="18"/>
        <v>1.8660898305237653E-2</v>
      </c>
      <c r="Q23" s="64">
        <f t="shared" si="19"/>
        <v>0.16794808474713888</v>
      </c>
    </row>
    <row r="24" spans="1:17" x14ac:dyDescent="0.2">
      <c r="A24" s="62">
        <v>10</v>
      </c>
      <c r="B24" s="63">
        <f t="shared" si="4"/>
        <v>0</v>
      </c>
      <c r="C24">
        <f t="shared" si="5"/>
        <v>0</v>
      </c>
      <c r="D24">
        <f t="shared" si="6"/>
        <v>0</v>
      </c>
      <c r="E24" s="64">
        <f t="shared" si="7"/>
        <v>0</v>
      </c>
      <c r="F24" s="63">
        <f t="shared" si="8"/>
        <v>45</v>
      </c>
      <c r="G24">
        <f t="shared" si="9"/>
        <v>31.901346616939747</v>
      </c>
      <c r="H24">
        <f t="shared" si="10"/>
        <v>2.5840336120120173E-2</v>
      </c>
      <c r="I24" s="64">
        <f t="shared" si="11"/>
        <v>0.25840336120120172</v>
      </c>
      <c r="J24" s="63">
        <f t="shared" si="12"/>
        <v>20</v>
      </c>
      <c r="K24">
        <f t="shared" si="13"/>
        <v>14.178376274195443</v>
      </c>
      <c r="L24">
        <f t="shared" si="14"/>
        <v>2.1874615666187355E-2</v>
      </c>
      <c r="M24" s="64">
        <f t="shared" si="15"/>
        <v>0.21874615666187355</v>
      </c>
      <c r="N24" s="63">
        <f t="shared" si="16"/>
        <v>20</v>
      </c>
      <c r="O24">
        <f t="shared" si="17"/>
        <v>15.623968034514542</v>
      </c>
      <c r="P24">
        <f t="shared" si="18"/>
        <v>1.8205754444134293E-2</v>
      </c>
      <c r="Q24" s="64">
        <f t="shared" si="19"/>
        <v>0.18205754444134292</v>
      </c>
    </row>
    <row r="25" spans="1:17" x14ac:dyDescent="0.2">
      <c r="A25" s="62">
        <v>11</v>
      </c>
      <c r="B25" s="63">
        <f t="shared" si="4"/>
        <v>0</v>
      </c>
      <c r="C25">
        <f t="shared" si="5"/>
        <v>0</v>
      </c>
      <c r="D25">
        <f t="shared" si="6"/>
        <v>0</v>
      </c>
      <c r="E25" s="64">
        <f t="shared" si="7"/>
        <v>0</v>
      </c>
      <c r="F25" s="63">
        <f t="shared" si="8"/>
        <v>45</v>
      </c>
      <c r="G25">
        <f t="shared" si="9"/>
        <v>30.822557117816181</v>
      </c>
      <c r="H25">
        <f t="shared" si="10"/>
        <v>2.4966508328618527E-2</v>
      </c>
      <c r="I25" s="64">
        <f t="shared" si="11"/>
        <v>0.27463159161480377</v>
      </c>
      <c r="J25" s="63">
        <f t="shared" si="12"/>
        <v>20</v>
      </c>
      <c r="K25">
        <f t="shared" si="13"/>
        <v>13.698914274584968</v>
      </c>
      <c r="L25">
        <f t="shared" si="14"/>
        <v>2.113489436346604E-2</v>
      </c>
      <c r="M25" s="64">
        <f t="shared" si="15"/>
        <v>0.23248383799812644</v>
      </c>
      <c r="N25" s="63">
        <f t="shared" si="16"/>
        <v>20</v>
      </c>
      <c r="O25">
        <f t="shared" si="17"/>
        <v>15.242895643428822</v>
      </c>
      <c r="P25">
        <f t="shared" si="18"/>
        <v>1.7761711652813945E-2</v>
      </c>
      <c r="Q25" s="64">
        <f t="shared" si="19"/>
        <v>0.1953788281809534</v>
      </c>
    </row>
    <row r="26" spans="1:17" x14ac:dyDescent="0.2">
      <c r="A26" s="62">
        <v>12</v>
      </c>
      <c r="B26" s="63">
        <f t="shared" si="4"/>
        <v>0</v>
      </c>
      <c r="C26">
        <f t="shared" si="5"/>
        <v>0</v>
      </c>
      <c r="D26">
        <f t="shared" si="6"/>
        <v>0</v>
      </c>
      <c r="E26" s="64">
        <f t="shared" si="7"/>
        <v>0</v>
      </c>
      <c r="F26" s="63">
        <f t="shared" si="8"/>
        <v>45</v>
      </c>
      <c r="G26">
        <f t="shared" si="9"/>
        <v>29.780248423010804</v>
      </c>
      <c r="H26">
        <f t="shared" si="10"/>
        <v>2.4122230269196642E-2</v>
      </c>
      <c r="I26" s="64">
        <f t="shared" si="11"/>
        <v>0.28946676323035969</v>
      </c>
      <c r="J26" s="63">
        <f t="shared" si="12"/>
        <v>20</v>
      </c>
      <c r="K26">
        <f t="shared" si="13"/>
        <v>13.23566596578258</v>
      </c>
      <c r="L26">
        <f t="shared" si="14"/>
        <v>2.0420187790788448E-2</v>
      </c>
      <c r="M26" s="64">
        <f t="shared" si="15"/>
        <v>0.24504225348946138</v>
      </c>
      <c r="N26" s="63">
        <f t="shared" si="16"/>
        <v>20</v>
      </c>
      <c r="O26">
        <f t="shared" si="17"/>
        <v>14.871117700906169</v>
      </c>
      <c r="P26">
        <f t="shared" si="18"/>
        <v>1.7328499173477022E-2</v>
      </c>
      <c r="Q26" s="64">
        <f t="shared" si="19"/>
        <v>0.20794199008172426</v>
      </c>
    </row>
    <row r="27" spans="1:17" x14ac:dyDescent="0.2">
      <c r="A27" s="62">
        <v>13</v>
      </c>
      <c r="B27" s="63">
        <f t="shared" si="4"/>
        <v>0</v>
      </c>
      <c r="C27">
        <f t="shared" si="5"/>
        <v>0</v>
      </c>
      <c r="D27">
        <f t="shared" si="6"/>
        <v>0</v>
      </c>
      <c r="E27" s="64">
        <f t="shared" si="7"/>
        <v>0</v>
      </c>
      <c r="F27" s="63">
        <f t="shared" si="8"/>
        <v>45</v>
      </c>
      <c r="G27">
        <f t="shared" si="9"/>
        <v>28.773186882136049</v>
      </c>
      <c r="H27">
        <f t="shared" si="10"/>
        <v>2.3306502675552319E-2</v>
      </c>
      <c r="I27" s="64">
        <f t="shared" si="11"/>
        <v>0.30298453478218013</v>
      </c>
      <c r="J27" s="63">
        <f t="shared" si="12"/>
        <v>20</v>
      </c>
      <c r="K27">
        <f t="shared" si="13"/>
        <v>12.788083058727134</v>
      </c>
      <c r="L27">
        <f t="shared" si="14"/>
        <v>1.9729650039409134E-2</v>
      </c>
      <c r="M27" s="64">
        <f t="shared" si="15"/>
        <v>0.25648545051231875</v>
      </c>
      <c r="N27" s="63">
        <f t="shared" si="16"/>
        <v>20</v>
      </c>
      <c r="O27">
        <f t="shared" si="17"/>
        <v>14.50840751307919</v>
      </c>
      <c r="P27">
        <f t="shared" si="18"/>
        <v>1.6905852852172706E-2</v>
      </c>
      <c r="Q27" s="64">
        <f t="shared" si="19"/>
        <v>0.2197760870782452</v>
      </c>
    </row>
    <row r="28" spans="1:17" x14ac:dyDescent="0.2">
      <c r="A28" s="62">
        <v>14</v>
      </c>
      <c r="B28" s="63">
        <f t="shared" si="4"/>
        <v>0</v>
      </c>
      <c r="C28">
        <f t="shared" si="5"/>
        <v>0</v>
      </c>
      <c r="D28">
        <f t="shared" si="6"/>
        <v>0</v>
      </c>
      <c r="E28" s="64">
        <f t="shared" si="7"/>
        <v>0</v>
      </c>
      <c r="F28" s="63">
        <f t="shared" si="8"/>
        <v>45</v>
      </c>
      <c r="G28">
        <f t="shared" si="9"/>
        <v>27.800180562450286</v>
      </c>
      <c r="H28">
        <f t="shared" si="10"/>
        <v>2.2518360072997408E-2</v>
      </c>
      <c r="I28" s="64">
        <f t="shared" si="11"/>
        <v>0.31525704102196372</v>
      </c>
      <c r="J28" s="63">
        <f t="shared" si="12"/>
        <v>20</v>
      </c>
      <c r="K28">
        <f t="shared" si="13"/>
        <v>12.35563580553346</v>
      </c>
      <c r="L28">
        <f t="shared" si="14"/>
        <v>1.9062463806192396E-2</v>
      </c>
      <c r="M28" s="64">
        <f t="shared" si="15"/>
        <v>0.26687449328669355</v>
      </c>
      <c r="N28" s="63">
        <f t="shared" si="16"/>
        <v>20</v>
      </c>
      <c r="O28">
        <f t="shared" si="17"/>
        <v>14.154543915199211</v>
      </c>
      <c r="P28">
        <f t="shared" si="18"/>
        <v>1.6493514977729471E-2</v>
      </c>
      <c r="Q28" s="64">
        <f t="shared" si="19"/>
        <v>0.2309092096882126</v>
      </c>
    </row>
    <row r="29" spans="1:17" x14ac:dyDescent="0.2">
      <c r="A29" s="62">
        <v>15</v>
      </c>
      <c r="B29" s="63">
        <f t="shared" si="4"/>
        <v>0</v>
      </c>
      <c r="C29">
        <f t="shared" si="5"/>
        <v>0</v>
      </c>
      <c r="D29">
        <f t="shared" si="6"/>
        <v>0</v>
      </c>
      <c r="E29" s="64">
        <f t="shared" si="7"/>
        <v>0</v>
      </c>
      <c r="F29" s="63">
        <f t="shared" si="8"/>
        <v>45</v>
      </c>
      <c r="G29">
        <f t="shared" si="9"/>
        <v>26.860077838116222</v>
      </c>
      <c r="H29">
        <f t="shared" si="10"/>
        <v>2.1756869635746291E-2</v>
      </c>
      <c r="I29" s="64">
        <f t="shared" si="11"/>
        <v>0.32635304453619435</v>
      </c>
      <c r="J29" s="63">
        <f t="shared" si="12"/>
        <v>20</v>
      </c>
      <c r="K29">
        <f t="shared" si="13"/>
        <v>11.937812372496099</v>
      </c>
      <c r="L29">
        <f t="shared" si="14"/>
        <v>1.8417839426272849E-2</v>
      </c>
      <c r="M29" s="64">
        <f t="shared" si="15"/>
        <v>0.27626759139409274</v>
      </c>
      <c r="N29" s="63">
        <f t="shared" si="16"/>
        <v>20</v>
      </c>
      <c r="O29">
        <f t="shared" si="17"/>
        <v>13.809311136779716</v>
      </c>
      <c r="P29">
        <f t="shared" si="18"/>
        <v>1.6091234124614114E-2</v>
      </c>
      <c r="Q29" s="64">
        <f t="shared" si="19"/>
        <v>0.24136851186921171</v>
      </c>
    </row>
    <row r="30" spans="1:17" x14ac:dyDescent="0.2">
      <c r="A30" s="62">
        <v>16</v>
      </c>
      <c r="B30" s="63">
        <f t="shared" si="4"/>
        <v>0</v>
      </c>
      <c r="C30">
        <f t="shared" si="5"/>
        <v>0</v>
      </c>
      <c r="D30">
        <f t="shared" si="6"/>
        <v>0</v>
      </c>
      <c r="E30" s="64">
        <f t="shared" si="7"/>
        <v>0</v>
      </c>
      <c r="F30" s="63">
        <f t="shared" si="8"/>
        <v>45</v>
      </c>
      <c r="G30">
        <f t="shared" si="9"/>
        <v>25.951766027165437</v>
      </c>
      <c r="H30">
        <f t="shared" si="10"/>
        <v>2.1021130082846659E-2</v>
      </c>
      <c r="I30" s="64">
        <f t="shared" si="11"/>
        <v>0.33633808132554655</v>
      </c>
      <c r="J30" s="63">
        <f t="shared" si="12"/>
        <v>20</v>
      </c>
      <c r="K30">
        <f t="shared" si="13"/>
        <v>11.53411823429575</v>
      </c>
      <c r="L30">
        <f t="shared" si="14"/>
        <v>1.7795013938427879E-2</v>
      </c>
      <c r="M30" s="64">
        <f t="shared" si="15"/>
        <v>0.28472022301484606</v>
      </c>
      <c r="N30" s="63">
        <f t="shared" si="16"/>
        <v>20</v>
      </c>
      <c r="O30">
        <f t="shared" si="17"/>
        <v>13.472498670028992</v>
      </c>
      <c r="P30">
        <f t="shared" si="18"/>
        <v>1.5698764999623527E-2</v>
      </c>
      <c r="Q30" s="64">
        <f t="shared" si="19"/>
        <v>0.25118023999397643</v>
      </c>
    </row>
    <row r="31" spans="1:17" x14ac:dyDescent="0.2">
      <c r="A31" s="62">
        <v>17</v>
      </c>
      <c r="B31" s="63">
        <f t="shared" si="4"/>
        <v>0</v>
      </c>
      <c r="C31">
        <f t="shared" si="5"/>
        <v>0</v>
      </c>
      <c r="D31">
        <f t="shared" si="6"/>
        <v>0</v>
      </c>
      <c r="E31" s="64">
        <f t="shared" si="7"/>
        <v>0</v>
      </c>
      <c r="F31" s="63">
        <f t="shared" si="8"/>
        <v>45</v>
      </c>
      <c r="G31">
        <f t="shared" si="9"/>
        <v>25.07417007455598</v>
      </c>
      <c r="H31">
        <f t="shared" si="10"/>
        <v>2.0310270611446048E-2</v>
      </c>
      <c r="I31" s="64">
        <f t="shared" si="11"/>
        <v>0.3452746003945828</v>
      </c>
      <c r="J31" s="63">
        <f t="shared" si="12"/>
        <v>20</v>
      </c>
      <c r="K31">
        <f t="shared" si="13"/>
        <v>11.144075588691546</v>
      </c>
      <c r="L31">
        <f t="shared" si="14"/>
        <v>1.7193250182055923E-2</v>
      </c>
      <c r="M31" s="64">
        <f t="shared" si="15"/>
        <v>0.29228525309495068</v>
      </c>
      <c r="N31" s="63">
        <f t="shared" si="16"/>
        <v>20</v>
      </c>
      <c r="O31">
        <f t="shared" si="17"/>
        <v>13.143901141491702</v>
      </c>
      <c r="P31">
        <f t="shared" si="18"/>
        <v>1.5315868292315639E-2</v>
      </c>
      <c r="Q31" s="64">
        <f t="shared" si="19"/>
        <v>0.26036976096936587</v>
      </c>
    </row>
    <row r="32" spans="1:17" x14ac:dyDescent="0.2">
      <c r="A32" s="62">
        <v>18</v>
      </c>
      <c r="B32" s="63">
        <f t="shared" si="4"/>
        <v>0</v>
      </c>
      <c r="C32">
        <f t="shared" si="5"/>
        <v>0</v>
      </c>
      <c r="D32">
        <f t="shared" si="6"/>
        <v>0</v>
      </c>
      <c r="E32" s="64">
        <f t="shared" si="7"/>
        <v>0</v>
      </c>
      <c r="F32" s="63">
        <f t="shared" si="8"/>
        <v>45</v>
      </c>
      <c r="G32">
        <f t="shared" si="9"/>
        <v>24.226251279764234</v>
      </c>
      <c r="H32">
        <f t="shared" si="10"/>
        <v>1.9623449866131452E-2</v>
      </c>
      <c r="I32" s="64">
        <f t="shared" si="11"/>
        <v>0.35322209759036616</v>
      </c>
      <c r="J32" s="63">
        <f t="shared" si="12"/>
        <v>20</v>
      </c>
      <c r="K32">
        <f t="shared" si="13"/>
        <v>10.767222791006326</v>
      </c>
      <c r="L32">
        <f t="shared" si="14"/>
        <v>1.6611835924691714E-2</v>
      </c>
      <c r="M32" s="64">
        <f t="shared" si="15"/>
        <v>0.29901304664445083</v>
      </c>
      <c r="N32" s="63">
        <f t="shared" si="16"/>
        <v>20</v>
      </c>
      <c r="O32">
        <f t="shared" si="17"/>
        <v>12.823318186821171</v>
      </c>
      <c r="P32">
        <f t="shared" si="18"/>
        <v>1.4942310529088426E-2</v>
      </c>
      <c r="Q32" s="64">
        <f t="shared" si="19"/>
        <v>0.26896158952359167</v>
      </c>
    </row>
    <row r="33" spans="1:17" x14ac:dyDescent="0.2">
      <c r="A33" s="62">
        <v>19</v>
      </c>
      <c r="B33" s="63">
        <f t="shared" si="4"/>
        <v>0</v>
      </c>
      <c r="C33">
        <f t="shared" si="5"/>
        <v>0</v>
      </c>
      <c r="D33">
        <f t="shared" si="6"/>
        <v>0</v>
      </c>
      <c r="E33" s="64">
        <f t="shared" si="7"/>
        <v>0</v>
      </c>
      <c r="F33" s="63">
        <f t="shared" si="8"/>
        <v>45</v>
      </c>
      <c r="G33">
        <f t="shared" si="9"/>
        <v>23.407006067405057</v>
      </c>
      <c r="H33">
        <f t="shared" si="10"/>
        <v>1.8959854943122176E-2</v>
      </c>
      <c r="I33" s="64">
        <f t="shared" si="11"/>
        <v>0.36023724391932133</v>
      </c>
      <c r="J33" s="63">
        <f t="shared" si="12"/>
        <v>20</v>
      </c>
      <c r="K33">
        <f t="shared" si="13"/>
        <v>10.403113807735581</v>
      </c>
      <c r="L33">
        <f t="shared" si="14"/>
        <v>1.6050083019025808E-2</v>
      </c>
      <c r="M33" s="64">
        <f t="shared" si="15"/>
        <v>0.30495157736149037</v>
      </c>
      <c r="N33" s="63">
        <f t="shared" si="16"/>
        <v>20</v>
      </c>
      <c r="O33">
        <f t="shared" si="17"/>
        <v>12.510554328606021</v>
      </c>
      <c r="P33">
        <f t="shared" si="18"/>
        <v>1.4577863930817978E-2</v>
      </c>
      <c r="Q33" s="64">
        <f t="shared" si="19"/>
        <v>0.2769794146855416</v>
      </c>
    </row>
    <row r="34" spans="1:17" x14ac:dyDescent="0.2">
      <c r="A34" s="62">
        <v>20</v>
      </c>
      <c r="B34" s="63">
        <f t="shared" si="4"/>
        <v>0</v>
      </c>
      <c r="C34">
        <f t="shared" si="5"/>
        <v>0</v>
      </c>
      <c r="D34">
        <f t="shared" si="6"/>
        <v>0</v>
      </c>
      <c r="E34" s="64">
        <f t="shared" si="7"/>
        <v>0</v>
      </c>
      <c r="F34" s="63">
        <f t="shared" si="8"/>
        <v>45</v>
      </c>
      <c r="G34">
        <f t="shared" si="9"/>
        <v>22.61546479942518</v>
      </c>
      <c r="H34">
        <f t="shared" si="10"/>
        <v>1.831870042813737E-2</v>
      </c>
      <c r="I34" s="64">
        <f t="shared" si="11"/>
        <v>0.36637400856274738</v>
      </c>
      <c r="J34" s="63">
        <f t="shared" si="12"/>
        <v>20</v>
      </c>
      <c r="K34">
        <f t="shared" si="13"/>
        <v>10.051317688633413</v>
      </c>
      <c r="L34">
        <f t="shared" si="14"/>
        <v>1.5507326588430737E-2</v>
      </c>
      <c r="M34" s="64">
        <f t="shared" si="15"/>
        <v>0.31014653176861473</v>
      </c>
      <c r="N34" s="63">
        <f t="shared" si="16"/>
        <v>20</v>
      </c>
      <c r="O34">
        <f t="shared" si="17"/>
        <v>12.205418857176607</v>
      </c>
      <c r="P34">
        <f t="shared" si="18"/>
        <v>1.422230627396876E-2</v>
      </c>
      <c r="Q34" s="64">
        <f t="shared" si="19"/>
        <v>0.2844461254793752</v>
      </c>
    </row>
    <row r="35" spans="1:17" x14ac:dyDescent="0.2">
      <c r="A35" s="62">
        <v>21</v>
      </c>
      <c r="B35" s="63">
        <f t="shared" si="4"/>
        <v>0</v>
      </c>
      <c r="C35">
        <f t="shared" si="5"/>
        <v>0</v>
      </c>
      <c r="D35">
        <f t="shared" si="6"/>
        <v>0</v>
      </c>
      <c r="E35" s="64">
        <f t="shared" si="7"/>
        <v>0</v>
      </c>
      <c r="F35" s="63">
        <f t="shared" si="8"/>
        <v>45</v>
      </c>
      <c r="G35">
        <f t="shared" si="9"/>
        <v>21.850690627463944</v>
      </c>
      <c r="H35">
        <f t="shared" si="10"/>
        <v>1.7699227466799392E-2</v>
      </c>
      <c r="I35" s="64">
        <f t="shared" si="11"/>
        <v>0.37168377680278725</v>
      </c>
      <c r="J35" s="63">
        <f t="shared" si="12"/>
        <v>20</v>
      </c>
      <c r="K35">
        <f t="shared" si="13"/>
        <v>9.7114180566506416</v>
      </c>
      <c r="L35">
        <f t="shared" si="14"/>
        <v>1.4982924240029699E-2</v>
      </c>
      <c r="M35" s="64">
        <f t="shared" si="15"/>
        <v>0.31464140904062365</v>
      </c>
      <c r="N35" s="63">
        <f t="shared" si="16"/>
        <v>20</v>
      </c>
      <c r="O35">
        <f t="shared" si="17"/>
        <v>11.907725714318643</v>
      </c>
      <c r="P35">
        <f t="shared" si="18"/>
        <v>1.3875420755091475E-2</v>
      </c>
      <c r="Q35" s="64">
        <f t="shared" si="19"/>
        <v>0.29138383585692096</v>
      </c>
    </row>
    <row r="36" spans="1:17" x14ac:dyDescent="0.2">
      <c r="A36" s="62">
        <v>22</v>
      </c>
      <c r="B36" s="63">
        <f t="shared" si="4"/>
        <v>0</v>
      </c>
      <c r="C36">
        <f t="shared" si="5"/>
        <v>0</v>
      </c>
      <c r="D36">
        <f t="shared" si="6"/>
        <v>0</v>
      </c>
      <c r="E36" s="64">
        <f t="shared" si="7"/>
        <v>0</v>
      </c>
      <c r="F36" s="63">
        <f t="shared" si="8"/>
        <v>45</v>
      </c>
      <c r="G36">
        <f t="shared" si="9"/>
        <v>21.111778384023136</v>
      </c>
      <c r="H36">
        <f t="shared" si="10"/>
        <v>1.7100702866472844E-2</v>
      </c>
      <c r="I36" s="64">
        <f t="shared" si="11"/>
        <v>0.37621546306240256</v>
      </c>
      <c r="J36" s="63">
        <f t="shared" si="12"/>
        <v>20</v>
      </c>
      <c r="K36">
        <f t="shared" si="13"/>
        <v>9.3830126151213928</v>
      </c>
      <c r="L36">
        <f t="shared" si="14"/>
        <v>1.4476255304376521E-2</v>
      </c>
      <c r="M36" s="64">
        <f t="shared" si="15"/>
        <v>0.31847761669628344</v>
      </c>
      <c r="N36" s="63">
        <f t="shared" si="16"/>
        <v>20</v>
      </c>
      <c r="O36">
        <f t="shared" si="17"/>
        <v>11.617293379823066</v>
      </c>
      <c r="P36">
        <f t="shared" si="18"/>
        <v>1.353699585862583E-2</v>
      </c>
      <c r="Q36" s="64">
        <f t="shared" si="19"/>
        <v>0.29781390888976828</v>
      </c>
    </row>
    <row r="37" spans="1:17" x14ac:dyDescent="0.2">
      <c r="A37" s="62">
        <v>23</v>
      </c>
      <c r="B37" s="63">
        <f t="shared" si="4"/>
        <v>0</v>
      </c>
      <c r="C37">
        <f t="shared" si="5"/>
        <v>0</v>
      </c>
      <c r="D37">
        <f t="shared" si="6"/>
        <v>0</v>
      </c>
      <c r="E37" s="64">
        <f t="shared" si="7"/>
        <v>0</v>
      </c>
      <c r="F37" s="63">
        <f t="shared" si="8"/>
        <v>45</v>
      </c>
      <c r="G37">
        <f t="shared" si="9"/>
        <v>20.397853511133462</v>
      </c>
      <c r="H37">
        <f t="shared" si="10"/>
        <v>1.6522418228476176E-2</v>
      </c>
      <c r="I37" s="64">
        <f t="shared" si="11"/>
        <v>0.38001561925495203</v>
      </c>
      <c r="J37" s="63">
        <f t="shared" si="12"/>
        <v>20</v>
      </c>
      <c r="K37">
        <f t="shared" si="13"/>
        <v>9.0657126716148735</v>
      </c>
      <c r="L37">
        <f t="shared" si="14"/>
        <v>1.3986720100846882E-2</v>
      </c>
      <c r="M37" s="64">
        <f t="shared" si="15"/>
        <v>0.32169456231947829</v>
      </c>
      <c r="N37" s="63">
        <f t="shared" si="16"/>
        <v>20</v>
      </c>
      <c r="O37">
        <f t="shared" si="17"/>
        <v>11.333944760802991</v>
      </c>
      <c r="P37">
        <f t="shared" si="18"/>
        <v>1.3206825227927639E-2</v>
      </c>
      <c r="Q37" s="64">
        <f t="shared" si="19"/>
        <v>0.30375698024233572</v>
      </c>
    </row>
    <row r="38" spans="1:17" x14ac:dyDescent="0.2">
      <c r="A38" s="62">
        <v>24</v>
      </c>
      <c r="B38" s="63">
        <f t="shared" si="4"/>
        <v>0</v>
      </c>
      <c r="C38">
        <f t="shared" si="5"/>
        <v>0</v>
      </c>
      <c r="D38">
        <f t="shared" si="6"/>
        <v>0</v>
      </c>
      <c r="E38" s="64">
        <f t="shared" si="7"/>
        <v>0</v>
      </c>
      <c r="F38" s="63">
        <f t="shared" si="8"/>
        <v>45</v>
      </c>
      <c r="G38">
        <f t="shared" si="9"/>
        <v>19.708071025249726</v>
      </c>
      <c r="H38">
        <f t="shared" si="10"/>
        <v>1.5963689109638822E-2</v>
      </c>
      <c r="I38" s="64">
        <f t="shared" si="11"/>
        <v>0.38312853863133173</v>
      </c>
      <c r="J38" s="63">
        <f t="shared" si="12"/>
        <v>20</v>
      </c>
      <c r="K38">
        <f t="shared" si="13"/>
        <v>8.759142677888768</v>
      </c>
      <c r="L38">
        <f t="shared" si="14"/>
        <v>1.3513739227871385E-2</v>
      </c>
      <c r="M38" s="64">
        <f t="shared" si="15"/>
        <v>0.32432974146891325</v>
      </c>
      <c r="N38" s="63">
        <f t="shared" si="16"/>
        <v>20</v>
      </c>
      <c r="O38">
        <f t="shared" si="17"/>
        <v>11.057507083710236</v>
      </c>
      <c r="P38">
        <f t="shared" si="18"/>
        <v>1.2884707539441599E-2</v>
      </c>
      <c r="Q38" s="64">
        <f t="shared" si="19"/>
        <v>0.3092329809465984</v>
      </c>
    </row>
    <row r="39" spans="1:17" x14ac:dyDescent="0.2">
      <c r="A39" s="62">
        <v>25</v>
      </c>
      <c r="B39" s="63">
        <f t="shared" si="4"/>
        <v>0</v>
      </c>
      <c r="C39">
        <f t="shared" si="5"/>
        <v>0</v>
      </c>
      <c r="D39">
        <f t="shared" si="6"/>
        <v>0</v>
      </c>
      <c r="E39" s="64">
        <f t="shared" si="7"/>
        <v>0</v>
      </c>
      <c r="F39" s="63">
        <f t="shared" si="8"/>
        <v>45</v>
      </c>
      <c r="G39">
        <f t="shared" si="9"/>
        <v>19.041614517149497</v>
      </c>
      <c r="H39">
        <f t="shared" si="10"/>
        <v>1.5423854212211425E-2</v>
      </c>
      <c r="I39" s="64">
        <f t="shared" si="11"/>
        <v>0.38559635530528563</v>
      </c>
      <c r="J39" s="63">
        <f t="shared" si="12"/>
        <v>20</v>
      </c>
      <c r="K39">
        <f t="shared" si="13"/>
        <v>8.4629397853997759</v>
      </c>
      <c r="L39">
        <f t="shared" si="14"/>
        <v>1.3056752877170421E-2</v>
      </c>
      <c r="M39" s="64">
        <f t="shared" si="15"/>
        <v>0.32641882192926053</v>
      </c>
      <c r="N39" s="63">
        <f t="shared" si="16"/>
        <v>20</v>
      </c>
      <c r="O39">
        <f t="shared" si="17"/>
        <v>10.787811788985598</v>
      </c>
      <c r="P39">
        <f t="shared" si="18"/>
        <v>1.2570446379943026E-2</v>
      </c>
      <c r="Q39" s="64">
        <f t="shared" si="19"/>
        <v>0.31426115949857564</v>
      </c>
    </row>
    <row r="40" spans="1:17" x14ac:dyDescent="0.2">
      <c r="A40" s="62">
        <v>26</v>
      </c>
      <c r="B40" s="63">
        <f t="shared" si="4"/>
        <v>0</v>
      </c>
      <c r="C40">
        <f t="shared" si="5"/>
        <v>0</v>
      </c>
      <c r="D40">
        <f t="shared" si="6"/>
        <v>0</v>
      </c>
      <c r="E40" s="64">
        <f t="shared" si="7"/>
        <v>0</v>
      </c>
      <c r="F40" s="63">
        <f t="shared" si="8"/>
        <v>45</v>
      </c>
      <c r="G40">
        <f t="shared" si="9"/>
        <v>18.397695185651688</v>
      </c>
      <c r="H40">
        <f t="shared" si="10"/>
        <v>1.4902274601170459E-2</v>
      </c>
      <c r="I40" s="64">
        <f t="shared" si="11"/>
        <v>0.38745913963043194</v>
      </c>
      <c r="J40" s="63">
        <f t="shared" si="12"/>
        <v>20</v>
      </c>
      <c r="K40">
        <f t="shared" si="13"/>
        <v>8.1767534158451944</v>
      </c>
      <c r="L40">
        <f t="shared" si="14"/>
        <v>1.2615220171179151E-2</v>
      </c>
      <c r="M40" s="64">
        <f t="shared" si="15"/>
        <v>0.32799572445065794</v>
      </c>
      <c r="N40" s="63">
        <f t="shared" si="16"/>
        <v>20</v>
      </c>
      <c r="O40">
        <f t="shared" si="17"/>
        <v>10.524694428278632</v>
      </c>
      <c r="P40">
        <f t="shared" si="18"/>
        <v>1.2263850126773685E-2</v>
      </c>
      <c r="Q40" s="64">
        <f t="shared" si="19"/>
        <v>0.3188601032961158</v>
      </c>
    </row>
    <row r="41" spans="1:17" x14ac:dyDescent="0.2">
      <c r="A41" s="62">
        <v>27</v>
      </c>
      <c r="B41" s="63">
        <f t="shared" si="4"/>
        <v>0</v>
      </c>
      <c r="C41">
        <f t="shared" si="5"/>
        <v>0</v>
      </c>
      <c r="D41">
        <f t="shared" si="6"/>
        <v>0</v>
      </c>
      <c r="E41" s="64">
        <f t="shared" si="7"/>
        <v>0</v>
      </c>
      <c r="F41" s="63">
        <f t="shared" si="8"/>
        <v>45</v>
      </c>
      <c r="G41">
        <f t="shared" si="9"/>
        <v>17.775550904011293</v>
      </c>
      <c r="H41">
        <f t="shared" si="10"/>
        <v>1.4398332947990781E-2</v>
      </c>
      <c r="I41" s="64">
        <f t="shared" si="11"/>
        <v>0.38875498959575111</v>
      </c>
      <c r="J41" s="63">
        <f t="shared" si="12"/>
        <v>20</v>
      </c>
      <c r="K41">
        <f t="shared" si="13"/>
        <v>7.900244846227241</v>
      </c>
      <c r="L41">
        <f t="shared" si="14"/>
        <v>1.2188618522878407E-2</v>
      </c>
      <c r="M41" s="64">
        <f t="shared" si="15"/>
        <v>0.32909270011771702</v>
      </c>
      <c r="N41" s="63">
        <f t="shared" si="16"/>
        <v>20</v>
      </c>
      <c r="O41">
        <f t="shared" si="17"/>
        <v>10.267994564174277</v>
      </c>
      <c r="P41">
        <f t="shared" si="18"/>
        <v>1.1964731830998719E-2</v>
      </c>
      <c r="Q41" s="64">
        <f t="shared" si="19"/>
        <v>0.3230477594369654</v>
      </c>
    </row>
    <row r="42" spans="1:17" x14ac:dyDescent="0.2">
      <c r="A42" s="62">
        <v>28</v>
      </c>
      <c r="B42" s="63">
        <f t="shared" si="4"/>
        <v>0</v>
      </c>
      <c r="C42">
        <f t="shared" si="5"/>
        <v>0</v>
      </c>
      <c r="D42">
        <f t="shared" si="6"/>
        <v>0</v>
      </c>
      <c r="E42" s="64">
        <f t="shared" si="7"/>
        <v>0</v>
      </c>
      <c r="F42" s="63">
        <f t="shared" si="8"/>
        <v>45</v>
      </c>
      <c r="G42">
        <f t="shared" si="9"/>
        <v>17.174445317885308</v>
      </c>
      <c r="H42">
        <f t="shared" si="10"/>
        <v>1.3911432799991094E-2</v>
      </c>
      <c r="I42" s="64">
        <f t="shared" si="11"/>
        <v>0.38952011839975065</v>
      </c>
      <c r="J42" s="63">
        <f t="shared" si="12"/>
        <v>20</v>
      </c>
      <c r="K42">
        <f t="shared" si="13"/>
        <v>7.6330868079490255</v>
      </c>
      <c r="L42">
        <f t="shared" si="14"/>
        <v>1.1776443017273824E-2</v>
      </c>
      <c r="M42" s="64">
        <f t="shared" si="15"/>
        <v>0.32974040448366709</v>
      </c>
      <c r="N42" s="63">
        <f t="shared" si="16"/>
        <v>20</v>
      </c>
      <c r="O42">
        <f t="shared" si="17"/>
        <v>10.017555672365148</v>
      </c>
      <c r="P42">
        <f t="shared" si="18"/>
        <v>1.1672909103413384E-2</v>
      </c>
      <c r="Q42" s="64">
        <f t="shared" si="19"/>
        <v>0.32684145489557476</v>
      </c>
    </row>
    <row r="43" spans="1:17" x14ac:dyDescent="0.2">
      <c r="A43" s="62">
        <v>29</v>
      </c>
      <c r="B43" s="63">
        <f t="shared" si="4"/>
        <v>0</v>
      </c>
      <c r="C43">
        <f t="shared" si="5"/>
        <v>0</v>
      </c>
      <c r="D43">
        <f t="shared" si="6"/>
        <v>0</v>
      </c>
      <c r="E43" s="64">
        <f t="shared" si="7"/>
        <v>0</v>
      </c>
      <c r="F43" s="63">
        <f t="shared" si="8"/>
        <v>45</v>
      </c>
      <c r="G43">
        <f t="shared" si="9"/>
        <v>16.593666973802232</v>
      </c>
      <c r="H43">
        <f t="shared" si="10"/>
        <v>1.3440997874387533E-2</v>
      </c>
      <c r="I43" s="64">
        <f t="shared" si="11"/>
        <v>0.38978893835723843</v>
      </c>
      <c r="J43" s="63">
        <f t="shared" si="12"/>
        <v>20</v>
      </c>
      <c r="K43">
        <f t="shared" si="13"/>
        <v>7.3749630994676592</v>
      </c>
      <c r="L43">
        <f t="shared" si="14"/>
        <v>1.1378205813791136E-2</v>
      </c>
      <c r="M43" s="64">
        <f t="shared" si="15"/>
        <v>0.32996796859994293</v>
      </c>
      <c r="N43" s="63">
        <f t="shared" si="16"/>
        <v>20</v>
      </c>
      <c r="O43">
        <f t="shared" si="17"/>
        <v>9.7732250462099</v>
      </c>
      <c r="P43">
        <f t="shared" si="18"/>
        <v>1.1388204003330129E-2</v>
      </c>
      <c r="Q43" s="64">
        <f t="shared" si="19"/>
        <v>0.33025791609657373</v>
      </c>
    </row>
    <row r="44" spans="1:17" x14ac:dyDescent="0.2">
      <c r="A44" s="62">
        <v>30</v>
      </c>
      <c r="B44" s="63">
        <f t="shared" si="4"/>
        <v>0</v>
      </c>
      <c r="C44">
        <f t="shared" si="5"/>
        <v>0</v>
      </c>
      <c r="D44">
        <f t="shared" si="6"/>
        <v>0</v>
      </c>
      <c r="E44" s="64">
        <f t="shared" si="7"/>
        <v>0</v>
      </c>
      <c r="F44" s="63">
        <f t="shared" si="8"/>
        <v>45</v>
      </c>
      <c r="G44">
        <f t="shared" si="9"/>
        <v>16.032528477103607</v>
      </c>
      <c r="H44">
        <f t="shared" si="10"/>
        <v>1.2986471376219839E-2</v>
      </c>
      <c r="I44" s="64">
        <f t="shared" si="11"/>
        <v>0.3895941412865952</v>
      </c>
      <c r="J44" s="63">
        <f t="shared" si="12"/>
        <v>20</v>
      </c>
      <c r="K44">
        <f t="shared" si="13"/>
        <v>7.1255682120460468</v>
      </c>
      <c r="L44">
        <f t="shared" si="14"/>
        <v>1.0993435568880324E-2</v>
      </c>
      <c r="M44" s="64">
        <f t="shared" si="15"/>
        <v>0.32980306706640972</v>
      </c>
      <c r="N44" s="63">
        <f t="shared" si="16"/>
        <v>20</v>
      </c>
      <c r="O44">
        <f t="shared" si="17"/>
        <v>9.534853703619417</v>
      </c>
      <c r="P44">
        <f t="shared" si="18"/>
        <v>1.1110442930078178E-2</v>
      </c>
      <c r="Q44" s="64">
        <f t="shared" si="19"/>
        <v>0.33331328790234532</v>
      </c>
    </row>
    <row r="45" spans="1:17" x14ac:dyDescent="0.2">
      <c r="A45" s="62">
        <v>31</v>
      </c>
      <c r="B45" s="63">
        <f t="shared" si="4"/>
        <v>0</v>
      </c>
      <c r="C45">
        <f t="shared" si="5"/>
        <v>0</v>
      </c>
      <c r="D45">
        <f t="shared" si="6"/>
        <v>0</v>
      </c>
      <c r="E45" s="64">
        <f t="shared" si="7"/>
        <v>0</v>
      </c>
      <c r="F45" s="63">
        <f t="shared" si="8"/>
        <v>45</v>
      </c>
      <c r="G45">
        <f t="shared" si="9"/>
        <v>15.490365678360973</v>
      </c>
      <c r="H45">
        <f t="shared" si="10"/>
        <v>1.254731533934284E-2</v>
      </c>
      <c r="I45" s="64">
        <f t="shared" si="11"/>
        <v>0.38896677551962805</v>
      </c>
      <c r="J45" s="63">
        <f t="shared" si="12"/>
        <v>20</v>
      </c>
      <c r="K45">
        <f t="shared" si="13"/>
        <v>6.8846069681604325</v>
      </c>
      <c r="L45">
        <f t="shared" si="14"/>
        <v>1.0621676878145242E-2</v>
      </c>
      <c r="M45" s="64">
        <f t="shared" si="15"/>
        <v>0.32927198322250251</v>
      </c>
      <c r="N45" s="63">
        <f t="shared" si="16"/>
        <v>20</v>
      </c>
      <c r="O45">
        <f t="shared" si="17"/>
        <v>9.3022962962140632</v>
      </c>
      <c r="P45">
        <f t="shared" si="18"/>
        <v>1.0839456517149439E-2</v>
      </c>
      <c r="Q45" s="64">
        <f t="shared" si="19"/>
        <v>0.33602315203163258</v>
      </c>
    </row>
    <row r="46" spans="1:17" x14ac:dyDescent="0.2">
      <c r="A46" s="62">
        <v>32</v>
      </c>
      <c r="B46" s="63">
        <f t="shared" si="4"/>
        <v>0</v>
      </c>
      <c r="C46">
        <f t="shared" si="5"/>
        <v>0</v>
      </c>
      <c r="D46">
        <f t="shared" si="6"/>
        <v>0</v>
      </c>
      <c r="E46" s="64">
        <f t="shared" si="7"/>
        <v>0</v>
      </c>
      <c r="F46" s="63">
        <f t="shared" si="8"/>
        <v>45</v>
      </c>
      <c r="G46">
        <f t="shared" si="9"/>
        <v>14.966536887305292</v>
      </c>
      <c r="H46">
        <f t="shared" si="10"/>
        <v>1.212300998970323E-2</v>
      </c>
      <c r="I46" s="64">
        <f t="shared" si="11"/>
        <v>0.38793631967050335</v>
      </c>
      <c r="J46" s="63">
        <f t="shared" si="12"/>
        <v>20</v>
      </c>
      <c r="K46">
        <f t="shared" si="13"/>
        <v>6.6517941721356859</v>
      </c>
      <c r="L46">
        <f t="shared" si="14"/>
        <v>1.0262489737338402E-2</v>
      </c>
      <c r="M46" s="64">
        <f t="shared" si="15"/>
        <v>0.32839967159482886</v>
      </c>
      <c r="N46" s="63">
        <f t="shared" si="16"/>
        <v>20</v>
      </c>
      <c r="O46">
        <f t="shared" si="17"/>
        <v>9.0754110206966487</v>
      </c>
      <c r="P46">
        <f t="shared" si="18"/>
        <v>1.0575079528926284E-2</v>
      </c>
      <c r="Q46" s="64">
        <f t="shared" si="19"/>
        <v>0.33840254492564109</v>
      </c>
    </row>
    <row r="47" spans="1:17" x14ac:dyDescent="0.2">
      <c r="A47" s="62">
        <v>33</v>
      </c>
      <c r="B47" s="63">
        <f t="shared" si="4"/>
        <v>0</v>
      </c>
      <c r="C47">
        <f t="shared" si="5"/>
        <v>0</v>
      </c>
      <c r="D47">
        <f t="shared" si="6"/>
        <v>0</v>
      </c>
      <c r="E47" s="64">
        <f t="shared" si="7"/>
        <v>0</v>
      </c>
      <c r="F47" s="63">
        <f t="shared" si="8"/>
        <v>45</v>
      </c>
      <c r="G47">
        <f t="shared" si="9"/>
        <v>14.460422113338447</v>
      </c>
      <c r="H47">
        <f t="shared" si="10"/>
        <v>1.1713053130148048E-2</v>
      </c>
      <c r="I47" s="64">
        <f t="shared" si="11"/>
        <v>0.38653075329488557</v>
      </c>
      <c r="J47" s="63">
        <f t="shared" si="12"/>
        <v>20</v>
      </c>
      <c r="K47">
        <f t="shared" si="13"/>
        <v>6.4268542725948654</v>
      </c>
      <c r="L47">
        <f t="shared" si="14"/>
        <v>9.9154490215829956E-3</v>
      </c>
      <c r="M47" s="64">
        <f t="shared" si="15"/>
        <v>0.32720981771223884</v>
      </c>
      <c r="N47" s="63">
        <f t="shared" si="16"/>
        <v>20</v>
      </c>
      <c r="O47">
        <f t="shared" si="17"/>
        <v>8.8540595323869749</v>
      </c>
      <c r="P47">
        <f t="shared" si="18"/>
        <v>1.0317150759928083E-2</v>
      </c>
      <c r="Q47" s="64">
        <f t="shared" si="19"/>
        <v>0.34046597507762671</v>
      </c>
    </row>
    <row r="48" spans="1:17" x14ac:dyDescent="0.2">
      <c r="A48" s="62">
        <v>34</v>
      </c>
      <c r="B48" s="63">
        <f t="shared" si="4"/>
        <v>0</v>
      </c>
      <c r="C48">
        <f t="shared" si="5"/>
        <v>0</v>
      </c>
      <c r="D48">
        <f t="shared" si="6"/>
        <v>0</v>
      </c>
      <c r="E48" s="64">
        <f t="shared" si="7"/>
        <v>0</v>
      </c>
      <c r="F48" s="63">
        <f t="shared" si="8"/>
        <v>45</v>
      </c>
      <c r="G48">
        <f t="shared" si="9"/>
        <v>13.97142233172797</v>
      </c>
      <c r="H48">
        <f t="shared" si="10"/>
        <v>1.1316959546036762E-2</v>
      </c>
      <c r="I48" s="64">
        <f t="shared" si="11"/>
        <v>0.38477662456524991</v>
      </c>
      <c r="J48" s="63">
        <f t="shared" si="12"/>
        <v>20</v>
      </c>
      <c r="K48">
        <f t="shared" si="13"/>
        <v>6.209521036323542</v>
      </c>
      <c r="L48">
        <f t="shared" si="14"/>
        <v>9.5801439822057952E-3</v>
      </c>
      <c r="M48" s="64">
        <f t="shared" si="15"/>
        <v>0.32572489539499705</v>
      </c>
      <c r="N48" s="63">
        <f t="shared" si="16"/>
        <v>20</v>
      </c>
      <c r="O48">
        <f t="shared" si="17"/>
        <v>8.6381068608653404</v>
      </c>
      <c r="P48">
        <f t="shared" si="18"/>
        <v>1.0065512936515201E-2</v>
      </c>
      <c r="Q48" s="64">
        <f t="shared" si="19"/>
        <v>0.34222743984151682</v>
      </c>
    </row>
    <row r="49" spans="1:17" x14ac:dyDescent="0.2">
      <c r="A49" s="62">
        <v>35</v>
      </c>
      <c r="B49" s="63">
        <f t="shared" si="4"/>
        <v>0</v>
      </c>
      <c r="C49">
        <f t="shared" si="5"/>
        <v>0</v>
      </c>
      <c r="D49">
        <f t="shared" si="6"/>
        <v>0</v>
      </c>
      <c r="E49" s="64">
        <f t="shared" si="7"/>
        <v>0</v>
      </c>
      <c r="F49" s="63">
        <f t="shared" si="8"/>
        <v>45</v>
      </c>
      <c r="G49">
        <f t="shared" si="9"/>
        <v>13.498958774616398</v>
      </c>
      <c r="H49">
        <f t="shared" si="10"/>
        <v>1.0934260430953396E-2</v>
      </c>
      <c r="I49" s="64">
        <f t="shared" si="11"/>
        <v>0.38269911508336885</v>
      </c>
      <c r="J49" s="63">
        <f t="shared" si="12"/>
        <v>20</v>
      </c>
      <c r="K49">
        <f t="shared" si="13"/>
        <v>5.9995372331628429</v>
      </c>
      <c r="L49">
        <f t="shared" si="14"/>
        <v>9.2561777605853091E-3</v>
      </c>
      <c r="M49" s="64">
        <f t="shared" si="15"/>
        <v>0.32396622162048583</v>
      </c>
      <c r="N49" s="63">
        <f t="shared" si="16"/>
        <v>20</v>
      </c>
      <c r="O49">
        <f t="shared" si="17"/>
        <v>8.427421327673505</v>
      </c>
      <c r="P49">
        <f t="shared" si="18"/>
        <v>9.8200126209904426E-3</v>
      </c>
      <c r="Q49" s="64">
        <f t="shared" si="19"/>
        <v>0.34370044173466552</v>
      </c>
    </row>
    <row r="50" spans="1:17" x14ac:dyDescent="0.2">
      <c r="A50" s="62">
        <v>36</v>
      </c>
      <c r="B50" s="63">
        <f t="shared" si="4"/>
        <v>0</v>
      </c>
      <c r="C50">
        <f t="shared" si="5"/>
        <v>0</v>
      </c>
      <c r="D50">
        <f t="shared" si="6"/>
        <v>0</v>
      </c>
      <c r="E50" s="64">
        <f t="shared" si="7"/>
        <v>0</v>
      </c>
      <c r="F50" s="63">
        <f t="shared" si="8"/>
        <v>45</v>
      </c>
      <c r="G50">
        <f t="shared" si="9"/>
        <v>13.042472246006181</v>
      </c>
      <c r="H50">
        <f t="shared" si="10"/>
        <v>1.056450283183903E-2</v>
      </c>
      <c r="I50" s="64">
        <f t="shared" si="11"/>
        <v>0.38032210194620508</v>
      </c>
      <c r="J50" s="63">
        <f t="shared" si="12"/>
        <v>20</v>
      </c>
      <c r="K50">
        <f t="shared" si="13"/>
        <v>5.7966543315583028</v>
      </c>
      <c r="L50">
        <f t="shared" si="14"/>
        <v>8.9431669184399133E-3</v>
      </c>
      <c r="M50" s="64">
        <f t="shared" si="15"/>
        <v>0.32195400906383687</v>
      </c>
      <c r="N50" s="63">
        <f t="shared" si="16"/>
        <v>20</v>
      </c>
      <c r="O50">
        <f t="shared" si="17"/>
        <v>8.2218744660229302</v>
      </c>
      <c r="P50">
        <f t="shared" si="18"/>
        <v>9.5805001180394554E-3</v>
      </c>
      <c r="Q50" s="64">
        <f t="shared" si="19"/>
        <v>0.34489800424942041</v>
      </c>
    </row>
    <row r="51" spans="1:17" x14ac:dyDescent="0.2">
      <c r="A51" s="62">
        <v>37</v>
      </c>
      <c r="B51" s="63">
        <f t="shared" si="4"/>
        <v>0</v>
      </c>
      <c r="C51">
        <f t="shared" si="5"/>
        <v>0</v>
      </c>
      <c r="D51">
        <f t="shared" si="6"/>
        <v>0</v>
      </c>
      <c r="E51" s="64">
        <f t="shared" si="7"/>
        <v>0</v>
      </c>
      <c r="F51" s="63">
        <f t="shared" si="8"/>
        <v>45</v>
      </c>
      <c r="G51">
        <f t="shared" si="9"/>
        <v>12.601422459909355</v>
      </c>
      <c r="H51">
        <f t="shared" si="10"/>
        <v>1.0207249112887952E-2</v>
      </c>
      <c r="I51" s="64">
        <f t="shared" si="11"/>
        <v>0.37766821717685423</v>
      </c>
      <c r="J51" s="63">
        <f t="shared" si="12"/>
        <v>20</v>
      </c>
      <c r="K51">
        <f t="shared" si="13"/>
        <v>5.6006322044041577</v>
      </c>
      <c r="L51">
        <f t="shared" si="14"/>
        <v>8.6407409839999172E-3</v>
      </c>
      <c r="M51" s="64">
        <f t="shared" si="15"/>
        <v>0.31970741640799694</v>
      </c>
      <c r="N51" s="63">
        <f t="shared" si="16"/>
        <v>20</v>
      </c>
      <c r="O51">
        <f t="shared" si="17"/>
        <v>8.0213409424613964</v>
      </c>
      <c r="P51">
        <f t="shared" si="18"/>
        <v>9.3468293834531278E-3</v>
      </c>
      <c r="Q51" s="64">
        <f t="shared" si="19"/>
        <v>0.34583268718776572</v>
      </c>
    </row>
    <row r="52" spans="1:17" x14ac:dyDescent="0.2">
      <c r="A52" s="62">
        <v>38</v>
      </c>
      <c r="B52" s="63">
        <f t="shared" si="4"/>
        <v>0</v>
      </c>
      <c r="C52">
        <f t="shared" si="5"/>
        <v>0</v>
      </c>
      <c r="D52">
        <f t="shared" si="6"/>
        <v>0</v>
      </c>
      <c r="E52" s="64">
        <f t="shared" si="7"/>
        <v>0</v>
      </c>
      <c r="F52" s="63">
        <f t="shared" si="8"/>
        <v>45</v>
      </c>
      <c r="G52">
        <f t="shared" si="9"/>
        <v>12.175287400878604</v>
      </c>
      <c r="H52">
        <f t="shared" si="10"/>
        <v>9.8620764375729007E-3</v>
      </c>
      <c r="I52" s="64">
        <f t="shared" si="11"/>
        <v>0.37475890462777023</v>
      </c>
      <c r="J52" s="63">
        <f t="shared" si="12"/>
        <v>20</v>
      </c>
      <c r="K52">
        <f t="shared" si="13"/>
        <v>5.4112388448349344</v>
      </c>
      <c r="L52">
        <f t="shared" si="14"/>
        <v>8.3485420135264877E-3</v>
      </c>
      <c r="M52" s="64">
        <f t="shared" si="15"/>
        <v>0.31724459651400655</v>
      </c>
      <c r="N52" s="63">
        <f t="shared" si="16"/>
        <v>20</v>
      </c>
      <c r="O52">
        <f t="shared" si="17"/>
        <v>7.8256984804501446</v>
      </c>
      <c r="P52">
        <f t="shared" si="18"/>
        <v>9.1188579350762241E-3</v>
      </c>
      <c r="Q52" s="64">
        <f t="shared" si="19"/>
        <v>0.34651660153289654</v>
      </c>
    </row>
    <row r="53" spans="1:17" x14ac:dyDescent="0.2">
      <c r="A53" s="62">
        <v>39</v>
      </c>
      <c r="B53" s="63">
        <f t="shared" si="4"/>
        <v>0</v>
      </c>
      <c r="C53">
        <f t="shared" si="5"/>
        <v>0</v>
      </c>
      <c r="D53">
        <f t="shared" si="6"/>
        <v>0</v>
      </c>
      <c r="E53" s="64">
        <f t="shared" si="7"/>
        <v>0</v>
      </c>
      <c r="F53" s="63">
        <f t="shared" si="8"/>
        <v>45</v>
      </c>
      <c r="G53">
        <f t="shared" si="9"/>
        <v>11.763562706162904</v>
      </c>
      <c r="H53">
        <f t="shared" si="10"/>
        <v>9.5285762681863798E-3</v>
      </c>
      <c r="I53" s="64">
        <f t="shared" si="11"/>
        <v>0.37161447445926882</v>
      </c>
      <c r="J53" s="63">
        <f t="shared" si="12"/>
        <v>20</v>
      </c>
      <c r="K53">
        <f t="shared" si="13"/>
        <v>5.2282500916279568</v>
      </c>
      <c r="L53">
        <f t="shared" si="14"/>
        <v>8.0662241676584447E-3</v>
      </c>
      <c r="M53" s="64">
        <f t="shared" si="15"/>
        <v>0.31458274253867935</v>
      </c>
      <c r="N53" s="63">
        <f t="shared" si="16"/>
        <v>20</v>
      </c>
      <c r="O53">
        <f t="shared" si="17"/>
        <v>7.6348277858050189</v>
      </c>
      <c r="P53">
        <f t="shared" si="18"/>
        <v>8.896446765928023E-3</v>
      </c>
      <c r="Q53" s="64">
        <f t="shared" si="19"/>
        <v>0.34696142387119289</v>
      </c>
    </row>
    <row r="54" spans="1:17" x14ac:dyDescent="0.2">
      <c r="A54" s="62">
        <v>40</v>
      </c>
      <c r="B54" s="63">
        <f t="shared" si="4"/>
        <v>0</v>
      </c>
      <c r="C54">
        <f t="shared" si="5"/>
        <v>0</v>
      </c>
      <c r="D54">
        <f t="shared" si="6"/>
        <v>0</v>
      </c>
      <c r="E54" s="64">
        <f t="shared" si="7"/>
        <v>0</v>
      </c>
      <c r="F54" s="63">
        <f t="shared" si="8"/>
        <v>45</v>
      </c>
      <c r="G54">
        <f t="shared" si="9"/>
        <v>11.365761068756431</v>
      </c>
      <c r="H54">
        <f t="shared" si="10"/>
        <v>9.2063538823056821E-3</v>
      </c>
      <c r="I54" s="64">
        <f t="shared" si="11"/>
        <v>0.36825415529222727</v>
      </c>
      <c r="J54" s="63">
        <f t="shared" si="12"/>
        <v>20</v>
      </c>
      <c r="K54">
        <f t="shared" si="13"/>
        <v>5.0514493638917468</v>
      </c>
      <c r="L54">
        <f t="shared" si="14"/>
        <v>7.7934533020854553E-3</v>
      </c>
      <c r="M54" s="64">
        <f t="shared" si="15"/>
        <v>0.31173813208341822</v>
      </c>
      <c r="N54" s="63">
        <f t="shared" si="16"/>
        <v>20</v>
      </c>
      <c r="O54">
        <f t="shared" si="17"/>
        <v>7.4486124739561168</v>
      </c>
      <c r="P54">
        <f t="shared" si="18"/>
        <v>8.6794602594419748E-3</v>
      </c>
      <c r="Q54" s="64">
        <f t="shared" si="19"/>
        <v>0.34717841037767899</v>
      </c>
    </row>
    <row r="55" spans="1:17" x14ac:dyDescent="0.2">
      <c r="A55" s="62">
        <v>41</v>
      </c>
      <c r="B55" s="63">
        <f t="shared" si="4"/>
        <v>0</v>
      </c>
      <c r="C55">
        <f t="shared" si="5"/>
        <v>0</v>
      </c>
      <c r="D55">
        <f t="shared" si="6"/>
        <v>0</v>
      </c>
      <c r="E55" s="64">
        <f t="shared" si="7"/>
        <v>0</v>
      </c>
      <c r="F55" s="63">
        <f t="shared" si="8"/>
        <v>45</v>
      </c>
      <c r="G55">
        <f t="shared" si="9"/>
        <v>10.981411660634235</v>
      </c>
      <c r="H55">
        <f t="shared" si="10"/>
        <v>8.8950279056093564E-3</v>
      </c>
      <c r="I55" s="64">
        <f t="shared" si="11"/>
        <v>0.36469614412998363</v>
      </c>
      <c r="J55" s="63">
        <f t="shared" si="12"/>
        <v>20</v>
      </c>
      <c r="K55">
        <f t="shared" si="13"/>
        <v>4.8806274047263267</v>
      </c>
      <c r="L55">
        <f t="shared" si="14"/>
        <v>7.5299065720632434E-3</v>
      </c>
      <c r="M55" s="64">
        <f t="shared" si="15"/>
        <v>0.30872616945459297</v>
      </c>
      <c r="N55" s="63">
        <f t="shared" si="16"/>
        <v>20</v>
      </c>
      <c r="O55">
        <f t="shared" si="17"/>
        <v>7.2669389989815771</v>
      </c>
      <c r="P55">
        <f t="shared" si="18"/>
        <v>8.4677661067726583E-3</v>
      </c>
      <c r="Q55" s="64">
        <f t="shared" si="19"/>
        <v>0.34717841037767899</v>
      </c>
    </row>
    <row r="56" spans="1:17" x14ac:dyDescent="0.2">
      <c r="A56" s="62">
        <v>42</v>
      </c>
      <c r="B56" s="63">
        <f t="shared" si="4"/>
        <v>0</v>
      </c>
      <c r="C56">
        <f t="shared" si="5"/>
        <v>0</v>
      </c>
      <c r="D56">
        <f t="shared" si="6"/>
        <v>0</v>
      </c>
      <c r="E56" s="64">
        <f t="shared" si="7"/>
        <v>0</v>
      </c>
      <c r="F56" s="63">
        <f t="shared" si="8"/>
        <v>45</v>
      </c>
      <c r="G56">
        <f t="shared" si="9"/>
        <v>10.610059575492015</v>
      </c>
      <c r="H56">
        <f t="shared" si="10"/>
        <v>8.5942298604921308E-3</v>
      </c>
      <c r="I56" s="64">
        <f t="shared" si="11"/>
        <v>0.36095765414066949</v>
      </c>
      <c r="J56" s="63">
        <f t="shared" si="12"/>
        <v>20</v>
      </c>
      <c r="K56">
        <f t="shared" si="13"/>
        <v>4.715582033552006</v>
      </c>
      <c r="L56">
        <f t="shared" si="14"/>
        <v>7.2752720503026502E-3</v>
      </c>
      <c r="M56" s="64">
        <f t="shared" si="15"/>
        <v>0.30556142611271131</v>
      </c>
      <c r="N56" s="63">
        <f t="shared" si="16"/>
        <v>20</v>
      </c>
      <c r="O56">
        <f t="shared" si="17"/>
        <v>7.0896965843722706</v>
      </c>
      <c r="P56">
        <f t="shared" si="18"/>
        <v>8.2612352261196668E-3</v>
      </c>
      <c r="Q56" s="64">
        <f t="shared" si="19"/>
        <v>0.34697187949702601</v>
      </c>
    </row>
    <row r="57" spans="1:17" x14ac:dyDescent="0.2">
      <c r="A57" s="62">
        <v>43</v>
      </c>
      <c r="B57" s="63">
        <f t="shared" si="4"/>
        <v>0</v>
      </c>
      <c r="C57">
        <f t="shared" si="5"/>
        <v>0</v>
      </c>
      <c r="D57">
        <f t="shared" si="6"/>
        <v>0</v>
      </c>
      <c r="E57" s="64">
        <f t="shared" si="7"/>
        <v>0</v>
      </c>
      <c r="F57" s="63">
        <f t="shared" si="8"/>
        <v>45</v>
      </c>
      <c r="G57">
        <f t="shared" si="9"/>
        <v>10.251265290330448</v>
      </c>
      <c r="H57">
        <f t="shared" si="10"/>
        <v>8.3036037299440875E-3</v>
      </c>
      <c r="I57" s="64">
        <f t="shared" si="11"/>
        <v>0.35705496038759577</v>
      </c>
      <c r="J57" s="63">
        <f t="shared" si="12"/>
        <v>20</v>
      </c>
      <c r="K57">
        <f t="shared" si="13"/>
        <v>4.5561179068135322</v>
      </c>
      <c r="L57">
        <f t="shared" si="14"/>
        <v>7.0292483577803384E-3</v>
      </c>
      <c r="M57" s="64">
        <f t="shared" si="15"/>
        <v>0.30225767938455456</v>
      </c>
      <c r="N57" s="63">
        <f t="shared" si="16"/>
        <v>20</v>
      </c>
      <c r="O57">
        <f t="shared" si="17"/>
        <v>6.9167771554851418</v>
      </c>
      <c r="P57">
        <f t="shared" si="18"/>
        <v>8.0597416840191873E-3</v>
      </c>
      <c r="Q57" s="64">
        <f t="shared" si="19"/>
        <v>0.34656889241282507</v>
      </c>
    </row>
    <row r="58" spans="1:17" x14ac:dyDescent="0.2">
      <c r="A58" s="62">
        <v>44</v>
      </c>
      <c r="B58" s="63">
        <f t="shared" si="4"/>
        <v>0</v>
      </c>
      <c r="C58">
        <f t="shared" si="5"/>
        <v>0</v>
      </c>
      <c r="D58">
        <f t="shared" si="6"/>
        <v>0</v>
      </c>
      <c r="E58" s="64">
        <f t="shared" si="7"/>
        <v>0</v>
      </c>
      <c r="F58" s="63">
        <f t="shared" si="8"/>
        <v>45</v>
      </c>
      <c r="G58">
        <f t="shared" si="9"/>
        <v>9.904604145246811</v>
      </c>
      <c r="H58">
        <f t="shared" si="10"/>
        <v>8.0228055361778634E-3</v>
      </c>
      <c r="I58" s="64">
        <f t="shared" si="11"/>
        <v>0.353003443591826</v>
      </c>
      <c r="J58" s="63">
        <f t="shared" si="12"/>
        <v>20</v>
      </c>
      <c r="K58">
        <f t="shared" si="13"/>
        <v>4.4020462867763603</v>
      </c>
      <c r="L58">
        <f t="shared" si="14"/>
        <v>6.7915443070341438E-3</v>
      </c>
      <c r="M58" s="64">
        <f t="shared" si="15"/>
        <v>0.29882794950950231</v>
      </c>
      <c r="N58" s="63">
        <f t="shared" si="16"/>
        <v>20</v>
      </c>
      <c r="O58">
        <f t="shared" si="17"/>
        <v>6.7480752736440426</v>
      </c>
      <c r="P58">
        <f t="shared" si="18"/>
        <v>7.8631626185553059E-3</v>
      </c>
      <c r="Q58" s="64">
        <f t="shared" si="19"/>
        <v>0.34597915521643346</v>
      </c>
    </row>
    <row r="59" spans="1:17" x14ac:dyDescent="0.2">
      <c r="A59" s="62">
        <v>45</v>
      </c>
      <c r="B59" s="63">
        <f t="shared" si="4"/>
        <v>0</v>
      </c>
      <c r="C59">
        <f t="shared" si="5"/>
        <v>0</v>
      </c>
      <c r="D59">
        <f t="shared" si="6"/>
        <v>0</v>
      </c>
      <c r="E59" s="64">
        <f t="shared" si="7"/>
        <v>0</v>
      </c>
      <c r="F59" s="63">
        <f t="shared" si="8"/>
        <v>45</v>
      </c>
      <c r="G59">
        <f t="shared" si="9"/>
        <v>9.5696658408181747</v>
      </c>
      <c r="H59">
        <f t="shared" si="10"/>
        <v>7.7515029335051824E-3</v>
      </c>
      <c r="I59" s="64">
        <f t="shared" si="11"/>
        <v>0.34881763200773319</v>
      </c>
      <c r="J59" s="63">
        <f t="shared" si="12"/>
        <v>20</v>
      </c>
      <c r="K59">
        <f t="shared" si="13"/>
        <v>4.2531848181414116</v>
      </c>
      <c r="L59">
        <f t="shared" si="14"/>
        <v>6.5618785575209133E-3</v>
      </c>
      <c r="M59" s="64">
        <f t="shared" si="15"/>
        <v>0.2952845350884411</v>
      </c>
      <c r="N59" s="63">
        <f t="shared" si="16"/>
        <v>20</v>
      </c>
      <c r="O59">
        <f t="shared" si="17"/>
        <v>6.5834880718478459</v>
      </c>
      <c r="P59">
        <f t="shared" si="18"/>
        <v>7.6713781644442008E-3</v>
      </c>
      <c r="Q59" s="64">
        <f t="shared" si="19"/>
        <v>0.34521201739998902</v>
      </c>
    </row>
    <row r="60" spans="1:17" x14ac:dyDescent="0.2">
      <c r="A60" s="62">
        <v>46</v>
      </c>
      <c r="B60" s="63">
        <f t="shared" si="4"/>
        <v>0</v>
      </c>
      <c r="C60">
        <f t="shared" si="5"/>
        <v>0</v>
      </c>
      <c r="D60">
        <f t="shared" si="6"/>
        <v>0</v>
      </c>
      <c r="E60" s="64">
        <f t="shared" si="7"/>
        <v>0</v>
      </c>
      <c r="F60" s="63">
        <f t="shared" si="8"/>
        <v>45</v>
      </c>
      <c r="G60">
        <f t="shared" si="9"/>
        <v>9.2460539524813274</v>
      </c>
      <c r="H60">
        <f t="shared" si="10"/>
        <v>7.4893748149808519E-3</v>
      </c>
      <c r="I60" s="64">
        <f t="shared" si="11"/>
        <v>0.34451124148911921</v>
      </c>
      <c r="J60" s="63">
        <f t="shared" si="12"/>
        <v>20</v>
      </c>
      <c r="K60">
        <f t="shared" si="13"/>
        <v>4.1093573122139233</v>
      </c>
      <c r="L60">
        <f t="shared" si="14"/>
        <v>6.3399792826289002E-3</v>
      </c>
      <c r="M60" s="64">
        <f t="shared" si="15"/>
        <v>0.29163904700092941</v>
      </c>
      <c r="N60" s="63">
        <f t="shared" si="16"/>
        <v>20</v>
      </c>
      <c r="O60">
        <f t="shared" si="17"/>
        <v>6.4229151920466805</v>
      </c>
      <c r="P60">
        <f t="shared" si="18"/>
        <v>7.4842713799455635E-3</v>
      </c>
      <c r="Q60" s="64">
        <f t="shared" si="19"/>
        <v>0.3442764834774959</v>
      </c>
    </row>
    <row r="61" spans="1:17" x14ac:dyDescent="0.2">
      <c r="A61" s="62">
        <v>47</v>
      </c>
      <c r="B61" s="63">
        <f t="shared" si="4"/>
        <v>0</v>
      </c>
      <c r="C61">
        <f t="shared" si="5"/>
        <v>0</v>
      </c>
      <c r="D61">
        <f t="shared" si="6"/>
        <v>0</v>
      </c>
      <c r="E61" s="64">
        <f t="shared" si="7"/>
        <v>0</v>
      </c>
      <c r="F61" s="63">
        <f t="shared" si="8"/>
        <v>45</v>
      </c>
      <c r="G61">
        <f t="shared" si="9"/>
        <v>8.933385461334618</v>
      </c>
      <c r="H61">
        <f t="shared" si="10"/>
        <v>7.2361109323486501E-3</v>
      </c>
      <c r="I61" s="64">
        <f t="shared" si="11"/>
        <v>0.34009721382038655</v>
      </c>
      <c r="J61" s="63">
        <f t="shared" si="12"/>
        <v>20</v>
      </c>
      <c r="K61">
        <f t="shared" si="13"/>
        <v>3.9703935383709417</v>
      </c>
      <c r="L61">
        <f t="shared" si="14"/>
        <v>6.1255838479506303E-3</v>
      </c>
      <c r="M61" s="64">
        <f t="shared" si="15"/>
        <v>0.28790244085367961</v>
      </c>
      <c r="N61" s="63">
        <f t="shared" si="16"/>
        <v>20</v>
      </c>
      <c r="O61">
        <f t="shared" si="17"/>
        <v>6.2662587239479794</v>
      </c>
      <c r="P61">
        <f t="shared" si="18"/>
        <v>7.301728175556646E-3</v>
      </c>
      <c r="Q61" s="64">
        <f t="shared" si="19"/>
        <v>0.34318122425116238</v>
      </c>
    </row>
    <row r="62" spans="1:17" x14ac:dyDescent="0.2">
      <c r="A62" s="62">
        <v>48</v>
      </c>
      <c r="B62" s="63">
        <f t="shared" si="4"/>
        <v>0</v>
      </c>
      <c r="C62">
        <f t="shared" si="5"/>
        <v>0</v>
      </c>
      <c r="D62">
        <f t="shared" si="6"/>
        <v>0</v>
      </c>
      <c r="E62" s="64">
        <f t="shared" si="7"/>
        <v>0</v>
      </c>
      <c r="F62" s="63">
        <f t="shared" si="8"/>
        <v>45</v>
      </c>
      <c r="G62">
        <f t="shared" si="9"/>
        <v>8.6312903008063966</v>
      </c>
      <c r="H62">
        <f t="shared" si="10"/>
        <v>6.9914115288392783E-3</v>
      </c>
      <c r="I62" s="64">
        <f t="shared" si="11"/>
        <v>0.33558775338428537</v>
      </c>
      <c r="J62" s="63">
        <f t="shared" si="12"/>
        <v>20</v>
      </c>
      <c r="K62">
        <f t="shared" si="13"/>
        <v>3.8361290225806206</v>
      </c>
      <c r="L62">
        <f t="shared" si="14"/>
        <v>5.9184385004353926E-3</v>
      </c>
      <c r="M62" s="64">
        <f t="shared" si="15"/>
        <v>0.28408504802089884</v>
      </c>
      <c r="N62" s="63">
        <f t="shared" si="16"/>
        <v>20</v>
      </c>
      <c r="O62">
        <f t="shared" si="17"/>
        <v>6.1134231453151031</v>
      </c>
      <c r="P62">
        <f t="shared" si="18"/>
        <v>7.1236372444455093E-3</v>
      </c>
      <c r="Q62" s="64">
        <f t="shared" si="19"/>
        <v>0.34193458773338448</v>
      </c>
    </row>
    <row r="63" spans="1:17" x14ac:dyDescent="0.2">
      <c r="A63" s="62">
        <v>49</v>
      </c>
      <c r="B63" s="63">
        <f t="shared" si="4"/>
        <v>0</v>
      </c>
      <c r="C63">
        <f t="shared" si="5"/>
        <v>0</v>
      </c>
      <c r="D63">
        <f t="shared" si="6"/>
        <v>0</v>
      </c>
      <c r="E63" s="64">
        <f t="shared" si="7"/>
        <v>0</v>
      </c>
      <c r="F63" s="63">
        <f t="shared" si="8"/>
        <v>45</v>
      </c>
      <c r="G63">
        <f t="shared" si="9"/>
        <v>8.3394109186535239</v>
      </c>
      <c r="H63">
        <f t="shared" si="10"/>
        <v>6.7549869843857762E-3</v>
      </c>
      <c r="I63" s="64">
        <f t="shared" si="11"/>
        <v>0.33099436223490303</v>
      </c>
      <c r="J63" s="63">
        <f t="shared" si="12"/>
        <v>20</v>
      </c>
      <c r="K63">
        <f t="shared" si="13"/>
        <v>3.7064048527348996</v>
      </c>
      <c r="L63">
        <f t="shared" si="14"/>
        <v>5.7182980680535204E-3</v>
      </c>
      <c r="M63" s="64">
        <f t="shared" si="15"/>
        <v>0.28019660533462248</v>
      </c>
      <c r="N63" s="63">
        <f t="shared" si="16"/>
        <v>20</v>
      </c>
      <c r="O63">
        <f t="shared" si="17"/>
        <v>5.9643152637220522</v>
      </c>
      <c r="P63">
        <f t="shared" si="18"/>
        <v>6.9498899945809852E-3</v>
      </c>
      <c r="Q63" s="64">
        <f t="shared" si="19"/>
        <v>0.34054460973446826</v>
      </c>
    </row>
    <row r="64" spans="1:17" x14ac:dyDescent="0.2">
      <c r="A64" s="62">
        <v>50</v>
      </c>
      <c r="B64" s="63">
        <f t="shared" si="4"/>
        <v>0</v>
      </c>
      <c r="C64">
        <f t="shared" si="5"/>
        <v>0</v>
      </c>
      <c r="D64">
        <f t="shared" si="6"/>
        <v>0</v>
      </c>
      <c r="E64" s="64">
        <f t="shared" si="7"/>
        <v>0</v>
      </c>
      <c r="F64" s="63">
        <f t="shared" si="8"/>
        <v>1045</v>
      </c>
      <c r="G64">
        <f t="shared" si="9"/>
        <v>187.11077638202755</v>
      </c>
      <c r="H64">
        <f t="shared" si="10"/>
        <v>0.15156116798031427</v>
      </c>
      <c r="I64" s="64">
        <f t="shared" si="11"/>
        <v>7.5780583990157133</v>
      </c>
      <c r="J64" s="63">
        <f t="shared" si="12"/>
        <v>1020</v>
      </c>
      <c r="K64">
        <f t="shared" si="13"/>
        <v>182.63444201882115</v>
      </c>
      <c r="L64">
        <f t="shared" si="14"/>
        <v>0.28177120915046333</v>
      </c>
      <c r="M64" s="64">
        <f t="shared" si="15"/>
        <v>14.088560457523167</v>
      </c>
      <c r="N64" s="63">
        <f t="shared" si="16"/>
        <v>1020</v>
      </c>
      <c r="O64">
        <f t="shared" si="17"/>
        <v>296.76105214617041</v>
      </c>
      <c r="P64">
        <f t="shared" si="18"/>
        <v>0.34579940460841979</v>
      </c>
      <c r="Q64" s="64">
        <f t="shared" si="19"/>
        <v>17.289970230420991</v>
      </c>
    </row>
    <row r="65" spans="1:17" x14ac:dyDescent="0.2">
      <c r="A65" s="62">
        <v>51</v>
      </c>
      <c r="B65" s="63">
        <f t="shared" si="4"/>
        <v>0</v>
      </c>
      <c r="C65">
        <f t="shared" si="5"/>
        <v>0</v>
      </c>
      <c r="D65">
        <f t="shared" si="6"/>
        <v>0</v>
      </c>
      <c r="E65" s="64">
        <f t="shared" si="7"/>
        <v>0</v>
      </c>
      <c r="F65" s="63">
        <f t="shared" si="8"/>
        <v>0</v>
      </c>
      <c r="G65">
        <f t="shared" si="9"/>
        <v>0</v>
      </c>
      <c r="H65">
        <f t="shared" si="10"/>
        <v>0</v>
      </c>
      <c r="I65" s="64">
        <f t="shared" si="11"/>
        <v>0</v>
      </c>
      <c r="J65" s="63">
        <f t="shared" si="12"/>
        <v>0</v>
      </c>
      <c r="K65">
        <f t="shared" si="13"/>
        <v>0</v>
      </c>
      <c r="L65">
        <f t="shared" si="14"/>
        <v>0</v>
      </c>
      <c r="M65" s="64">
        <f t="shared" si="15"/>
        <v>0</v>
      </c>
      <c r="N65" s="63">
        <f t="shared" si="16"/>
        <v>0</v>
      </c>
      <c r="O65">
        <f t="shared" si="17"/>
        <v>0</v>
      </c>
      <c r="P65">
        <f t="shared" si="18"/>
        <v>0</v>
      </c>
      <c r="Q65" s="64">
        <f t="shared" si="19"/>
        <v>0</v>
      </c>
    </row>
    <row r="66" spans="1:17" x14ac:dyDescent="0.2">
      <c r="A66" s="62">
        <v>52</v>
      </c>
      <c r="B66" s="63">
        <f t="shared" si="4"/>
        <v>0</v>
      </c>
      <c r="C66">
        <f t="shared" si="5"/>
        <v>0</v>
      </c>
      <c r="D66">
        <f t="shared" si="6"/>
        <v>0</v>
      </c>
      <c r="E66" s="64">
        <f t="shared" si="7"/>
        <v>0</v>
      </c>
      <c r="F66" s="63">
        <f t="shared" si="8"/>
        <v>0</v>
      </c>
      <c r="G66">
        <f t="shared" si="9"/>
        <v>0</v>
      </c>
      <c r="H66">
        <f t="shared" si="10"/>
        <v>0</v>
      </c>
      <c r="I66" s="64">
        <f t="shared" si="11"/>
        <v>0</v>
      </c>
      <c r="J66" s="63">
        <f t="shared" si="12"/>
        <v>0</v>
      </c>
      <c r="K66">
        <f t="shared" si="13"/>
        <v>0</v>
      </c>
      <c r="L66">
        <f t="shared" si="14"/>
        <v>0</v>
      </c>
      <c r="M66" s="64">
        <f t="shared" si="15"/>
        <v>0</v>
      </c>
      <c r="N66" s="63">
        <f t="shared" si="16"/>
        <v>0</v>
      </c>
      <c r="O66">
        <f t="shared" si="17"/>
        <v>0</v>
      </c>
      <c r="P66">
        <f t="shared" si="18"/>
        <v>0</v>
      </c>
      <c r="Q66" s="64">
        <f t="shared" si="19"/>
        <v>0</v>
      </c>
    </row>
    <row r="67" spans="1:17" x14ac:dyDescent="0.2">
      <c r="A67" s="62">
        <v>53</v>
      </c>
      <c r="B67" s="63">
        <f t="shared" si="4"/>
        <v>0</v>
      </c>
      <c r="C67">
        <f t="shared" si="5"/>
        <v>0</v>
      </c>
      <c r="D67">
        <f t="shared" si="6"/>
        <v>0</v>
      </c>
      <c r="E67" s="64">
        <f t="shared" si="7"/>
        <v>0</v>
      </c>
      <c r="F67" s="63">
        <f t="shared" si="8"/>
        <v>0</v>
      </c>
      <c r="G67">
        <f t="shared" si="9"/>
        <v>0</v>
      </c>
      <c r="H67">
        <f t="shared" si="10"/>
        <v>0</v>
      </c>
      <c r="I67" s="64">
        <f t="shared" si="11"/>
        <v>0</v>
      </c>
      <c r="J67" s="63">
        <f t="shared" si="12"/>
        <v>0</v>
      </c>
      <c r="K67">
        <f t="shared" si="13"/>
        <v>0</v>
      </c>
      <c r="L67">
        <f t="shared" si="14"/>
        <v>0</v>
      </c>
      <c r="M67" s="64">
        <f t="shared" si="15"/>
        <v>0</v>
      </c>
      <c r="N67" s="63">
        <f t="shared" si="16"/>
        <v>0</v>
      </c>
      <c r="O67">
        <f t="shared" si="17"/>
        <v>0</v>
      </c>
      <c r="P67">
        <f t="shared" si="18"/>
        <v>0</v>
      </c>
      <c r="Q67" s="64">
        <f t="shared" si="19"/>
        <v>0</v>
      </c>
    </row>
    <row r="68" spans="1:17" x14ac:dyDescent="0.2">
      <c r="A68" s="62">
        <v>54</v>
      </c>
      <c r="B68" s="63">
        <f t="shared" si="4"/>
        <v>0</v>
      </c>
      <c r="C68">
        <f t="shared" si="5"/>
        <v>0</v>
      </c>
      <c r="D68">
        <f t="shared" si="6"/>
        <v>0</v>
      </c>
      <c r="E68" s="64">
        <f t="shared" si="7"/>
        <v>0</v>
      </c>
      <c r="F68" s="63">
        <f t="shared" si="8"/>
        <v>0</v>
      </c>
      <c r="G68">
        <f t="shared" si="9"/>
        <v>0</v>
      </c>
      <c r="H68">
        <f t="shared" si="10"/>
        <v>0</v>
      </c>
      <c r="I68" s="64">
        <f t="shared" si="11"/>
        <v>0</v>
      </c>
      <c r="J68" s="63">
        <f t="shared" si="12"/>
        <v>0</v>
      </c>
      <c r="K68">
        <f t="shared" si="13"/>
        <v>0</v>
      </c>
      <c r="L68">
        <f t="shared" si="14"/>
        <v>0</v>
      </c>
      <c r="M68" s="64">
        <f t="shared" si="15"/>
        <v>0</v>
      </c>
      <c r="N68" s="63">
        <f t="shared" si="16"/>
        <v>0</v>
      </c>
      <c r="O68">
        <f t="shared" si="17"/>
        <v>0</v>
      </c>
      <c r="P68">
        <f t="shared" si="18"/>
        <v>0</v>
      </c>
      <c r="Q68" s="64">
        <f t="shared" si="19"/>
        <v>0</v>
      </c>
    </row>
    <row r="69" spans="1:17" x14ac:dyDescent="0.2">
      <c r="A69" s="62">
        <v>55</v>
      </c>
      <c r="B69" s="63">
        <f t="shared" si="4"/>
        <v>0</v>
      </c>
      <c r="C69">
        <f t="shared" si="5"/>
        <v>0</v>
      </c>
      <c r="D69">
        <f t="shared" si="6"/>
        <v>0</v>
      </c>
      <c r="E69" s="64">
        <f t="shared" si="7"/>
        <v>0</v>
      </c>
      <c r="F69" s="63">
        <f t="shared" si="8"/>
        <v>0</v>
      </c>
      <c r="G69">
        <f t="shared" si="9"/>
        <v>0</v>
      </c>
      <c r="H69">
        <f t="shared" si="10"/>
        <v>0</v>
      </c>
      <c r="I69" s="64">
        <f t="shared" si="11"/>
        <v>0</v>
      </c>
      <c r="J69" s="63">
        <f t="shared" si="12"/>
        <v>0</v>
      </c>
      <c r="K69">
        <f t="shared" si="13"/>
        <v>0</v>
      </c>
      <c r="L69">
        <f t="shared" si="14"/>
        <v>0</v>
      </c>
      <c r="M69" s="64">
        <f t="shared" si="15"/>
        <v>0</v>
      </c>
      <c r="N69" s="63">
        <f t="shared" si="16"/>
        <v>0</v>
      </c>
      <c r="O69">
        <f t="shared" si="17"/>
        <v>0</v>
      </c>
      <c r="P69">
        <f t="shared" si="18"/>
        <v>0</v>
      </c>
      <c r="Q69" s="64">
        <f t="shared" si="19"/>
        <v>0</v>
      </c>
    </row>
    <row r="70" spans="1:17" x14ac:dyDescent="0.2">
      <c r="A70" s="62">
        <v>56</v>
      </c>
      <c r="B70" s="63">
        <f t="shared" si="4"/>
        <v>0</v>
      </c>
      <c r="C70">
        <f t="shared" si="5"/>
        <v>0</v>
      </c>
      <c r="D70">
        <f t="shared" si="6"/>
        <v>0</v>
      </c>
      <c r="E70" s="64">
        <f t="shared" si="7"/>
        <v>0</v>
      </c>
      <c r="F70" s="63">
        <f t="shared" si="8"/>
        <v>0</v>
      </c>
      <c r="G70">
        <f t="shared" si="9"/>
        <v>0</v>
      </c>
      <c r="H70">
        <f t="shared" si="10"/>
        <v>0</v>
      </c>
      <c r="I70" s="64">
        <f t="shared" si="11"/>
        <v>0</v>
      </c>
      <c r="J70" s="63">
        <f t="shared" si="12"/>
        <v>0</v>
      </c>
      <c r="K70">
        <f t="shared" si="13"/>
        <v>0</v>
      </c>
      <c r="L70">
        <f t="shared" si="14"/>
        <v>0</v>
      </c>
      <c r="M70" s="64">
        <f t="shared" si="15"/>
        <v>0</v>
      </c>
      <c r="N70" s="63">
        <f t="shared" si="16"/>
        <v>0</v>
      </c>
      <c r="O70">
        <f t="shared" si="17"/>
        <v>0</v>
      </c>
      <c r="P70">
        <f t="shared" si="18"/>
        <v>0</v>
      </c>
      <c r="Q70" s="64">
        <f t="shared" si="19"/>
        <v>0</v>
      </c>
    </row>
    <row r="71" spans="1:17" x14ac:dyDescent="0.2">
      <c r="A71" s="62">
        <v>57</v>
      </c>
      <c r="B71" s="63">
        <f t="shared" si="4"/>
        <v>0</v>
      </c>
      <c r="C71">
        <f t="shared" si="5"/>
        <v>0</v>
      </c>
      <c r="D71">
        <f t="shared" si="6"/>
        <v>0</v>
      </c>
      <c r="E71" s="64">
        <f t="shared" si="7"/>
        <v>0</v>
      </c>
      <c r="F71" s="63">
        <f t="shared" si="8"/>
        <v>0</v>
      </c>
      <c r="G71">
        <f t="shared" si="9"/>
        <v>0</v>
      </c>
      <c r="H71">
        <f t="shared" si="10"/>
        <v>0</v>
      </c>
      <c r="I71" s="64">
        <f t="shared" si="11"/>
        <v>0</v>
      </c>
      <c r="J71" s="63">
        <f t="shared" si="12"/>
        <v>0</v>
      </c>
      <c r="K71">
        <f t="shared" si="13"/>
        <v>0</v>
      </c>
      <c r="L71">
        <f t="shared" si="14"/>
        <v>0</v>
      </c>
      <c r="M71" s="64">
        <f t="shared" si="15"/>
        <v>0</v>
      </c>
      <c r="N71" s="63">
        <f t="shared" si="16"/>
        <v>0</v>
      </c>
      <c r="O71">
        <f t="shared" si="17"/>
        <v>0</v>
      </c>
      <c r="P71">
        <f t="shared" si="18"/>
        <v>0</v>
      </c>
      <c r="Q71" s="64">
        <f t="shared" si="19"/>
        <v>0</v>
      </c>
    </row>
    <row r="72" spans="1:17" x14ac:dyDescent="0.2">
      <c r="A72" s="62">
        <v>58</v>
      </c>
      <c r="B72" s="63">
        <f t="shared" si="4"/>
        <v>0</v>
      </c>
      <c r="C72">
        <f t="shared" si="5"/>
        <v>0</v>
      </c>
      <c r="D72">
        <f t="shared" si="6"/>
        <v>0</v>
      </c>
      <c r="E72" s="64">
        <f t="shared" si="7"/>
        <v>0</v>
      </c>
      <c r="F72" s="63">
        <f t="shared" si="8"/>
        <v>0</v>
      </c>
      <c r="G72">
        <f t="shared" si="9"/>
        <v>0</v>
      </c>
      <c r="H72">
        <f t="shared" si="10"/>
        <v>0</v>
      </c>
      <c r="I72" s="64">
        <f t="shared" si="11"/>
        <v>0</v>
      </c>
      <c r="J72" s="63">
        <f t="shared" si="12"/>
        <v>0</v>
      </c>
      <c r="K72">
        <f t="shared" si="13"/>
        <v>0</v>
      </c>
      <c r="L72">
        <f t="shared" si="14"/>
        <v>0</v>
      </c>
      <c r="M72" s="64">
        <f t="shared" si="15"/>
        <v>0</v>
      </c>
      <c r="N72" s="63">
        <f t="shared" si="16"/>
        <v>0</v>
      </c>
      <c r="O72">
        <f t="shared" si="17"/>
        <v>0</v>
      </c>
      <c r="P72">
        <f t="shared" si="18"/>
        <v>0</v>
      </c>
      <c r="Q72" s="64">
        <f t="shared" si="19"/>
        <v>0</v>
      </c>
    </row>
    <row r="73" spans="1:17" x14ac:dyDescent="0.2">
      <c r="A73" s="62">
        <v>59</v>
      </c>
      <c r="B73" s="63">
        <f t="shared" si="4"/>
        <v>0</v>
      </c>
      <c r="C73">
        <f t="shared" si="5"/>
        <v>0</v>
      </c>
      <c r="D73">
        <f t="shared" si="6"/>
        <v>0</v>
      </c>
      <c r="E73" s="64">
        <f t="shared" si="7"/>
        <v>0</v>
      </c>
      <c r="F73" s="63">
        <f t="shared" si="8"/>
        <v>0</v>
      </c>
      <c r="G73">
        <f t="shared" si="9"/>
        <v>0</v>
      </c>
      <c r="H73">
        <f t="shared" si="10"/>
        <v>0</v>
      </c>
      <c r="I73" s="64">
        <f t="shared" si="11"/>
        <v>0</v>
      </c>
      <c r="J73" s="63">
        <f t="shared" si="12"/>
        <v>0</v>
      </c>
      <c r="K73">
        <f t="shared" si="13"/>
        <v>0</v>
      </c>
      <c r="L73">
        <f t="shared" si="14"/>
        <v>0</v>
      </c>
      <c r="M73" s="64">
        <f t="shared" si="15"/>
        <v>0</v>
      </c>
      <c r="N73" s="63">
        <f t="shared" si="16"/>
        <v>0</v>
      </c>
      <c r="O73">
        <f t="shared" si="17"/>
        <v>0</v>
      </c>
      <c r="P73">
        <f t="shared" si="18"/>
        <v>0</v>
      </c>
      <c r="Q73" s="64">
        <f t="shared" si="19"/>
        <v>0</v>
      </c>
    </row>
    <row r="74" spans="1:17" ht="16" thickBot="1" x14ac:dyDescent="0.25">
      <c r="A74" s="65">
        <v>60</v>
      </c>
      <c r="B74" s="66">
        <f t="shared" si="4"/>
        <v>0</v>
      </c>
      <c r="C74" s="67">
        <f t="shared" si="5"/>
        <v>0</v>
      </c>
      <c r="D74" s="67">
        <f t="shared" si="6"/>
        <v>0</v>
      </c>
      <c r="E74" s="68">
        <f t="shared" si="7"/>
        <v>0</v>
      </c>
      <c r="F74" s="66">
        <f t="shared" si="8"/>
        <v>0</v>
      </c>
      <c r="G74" s="67">
        <f t="shared" si="9"/>
        <v>0</v>
      </c>
      <c r="H74" s="67">
        <f t="shared" si="10"/>
        <v>0</v>
      </c>
      <c r="I74" s="68">
        <f t="shared" si="11"/>
        <v>0</v>
      </c>
      <c r="J74" s="63">
        <f t="shared" si="12"/>
        <v>0</v>
      </c>
      <c r="K74">
        <f t="shared" si="13"/>
        <v>0</v>
      </c>
      <c r="L74">
        <f t="shared" si="14"/>
        <v>0</v>
      </c>
      <c r="M74" s="64">
        <f t="shared" si="15"/>
        <v>0</v>
      </c>
      <c r="N74" s="63">
        <f t="shared" si="16"/>
        <v>0</v>
      </c>
      <c r="O74">
        <f t="shared" si="17"/>
        <v>0</v>
      </c>
      <c r="P74">
        <f t="shared" si="18"/>
        <v>0</v>
      </c>
      <c r="Q74" s="64">
        <f t="shared" si="19"/>
        <v>0</v>
      </c>
    </row>
  </sheetData>
  <mergeCells count="4">
    <mergeCell ref="B13:E13"/>
    <mergeCell ref="F13:I13"/>
    <mergeCell ref="J13:M13"/>
    <mergeCell ref="N13:Q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D560-E355-9740-90EB-20281D658FD1}">
  <dimension ref="A1:R200"/>
  <sheetViews>
    <sheetView tabSelected="1" workbookViewId="0">
      <selection activeCell="E16" sqref="E16"/>
    </sheetView>
  </sheetViews>
  <sheetFormatPr baseColWidth="10" defaultRowHeight="15" x14ac:dyDescent="0.2"/>
  <cols>
    <col min="1" max="1" width="25.33203125" bestFit="1" customWidth="1"/>
    <col min="2" max="2" width="13.1640625" bestFit="1" customWidth="1"/>
    <col min="3" max="3" width="19.83203125" bestFit="1" customWidth="1"/>
    <col min="4" max="4" width="13.1640625" bestFit="1" customWidth="1"/>
    <col min="5" max="5" width="16.5" bestFit="1" customWidth="1"/>
    <col min="6" max="7" width="9.6640625" bestFit="1" customWidth="1"/>
    <col min="8" max="8" width="12.1640625" bestFit="1" customWidth="1"/>
    <col min="9" max="9" width="16.33203125" bestFit="1" customWidth="1"/>
    <col min="10" max="10" width="9.6640625" bestFit="1" customWidth="1"/>
    <col min="11" max="11" width="19.6640625" bestFit="1" customWidth="1"/>
    <col min="12" max="12" width="12.1640625" bestFit="1" customWidth="1"/>
    <col min="13" max="13" width="16.33203125" bestFit="1" customWidth="1"/>
  </cols>
  <sheetData>
    <row r="1" spans="1:18" x14ac:dyDescent="0.2">
      <c r="B1" s="76" t="s">
        <v>201</v>
      </c>
      <c r="C1" s="77"/>
      <c r="D1" s="77"/>
      <c r="E1" s="78"/>
      <c r="F1" s="76" t="s">
        <v>202</v>
      </c>
      <c r="G1" s="77"/>
      <c r="H1" s="77"/>
      <c r="I1" s="78"/>
      <c r="J1" s="76" t="s">
        <v>203</v>
      </c>
      <c r="K1" s="77"/>
      <c r="L1" s="77"/>
      <c r="M1" s="78"/>
    </row>
    <row r="2" spans="1:18" x14ac:dyDescent="0.2">
      <c r="B2" s="63" t="s">
        <v>188</v>
      </c>
      <c r="C2" s="79" t="s">
        <v>189</v>
      </c>
      <c r="D2" s="79" t="s">
        <v>190</v>
      </c>
      <c r="E2" s="64"/>
      <c r="F2" s="63" t="s">
        <v>188</v>
      </c>
      <c r="G2" s="79" t="s">
        <v>189</v>
      </c>
      <c r="H2" s="79" t="s">
        <v>190</v>
      </c>
      <c r="I2" s="64"/>
      <c r="J2" s="63" t="s">
        <v>188</v>
      </c>
      <c r="K2" s="79" t="s">
        <v>189</v>
      </c>
      <c r="L2" s="79" t="s">
        <v>190</v>
      </c>
      <c r="M2" s="64"/>
    </row>
    <row r="3" spans="1:18" x14ac:dyDescent="0.2">
      <c r="A3" t="s">
        <v>82</v>
      </c>
      <c r="B3" s="63">
        <v>4</v>
      </c>
      <c r="C3" s="79">
        <v>25</v>
      </c>
      <c r="D3" s="79">
        <v>25</v>
      </c>
      <c r="E3" s="64"/>
      <c r="F3" s="63">
        <v>4</v>
      </c>
      <c r="G3" s="79">
        <v>25</v>
      </c>
      <c r="H3" s="79">
        <v>25</v>
      </c>
      <c r="I3" s="64"/>
      <c r="J3" s="63">
        <v>4</v>
      </c>
      <c r="K3" s="79">
        <v>25</v>
      </c>
      <c r="L3" s="79">
        <v>25</v>
      </c>
      <c r="M3" s="64"/>
    </row>
    <row r="4" spans="1:18" x14ac:dyDescent="0.2">
      <c r="A4" t="s">
        <v>34</v>
      </c>
      <c r="B4" s="63">
        <v>0.09</v>
      </c>
      <c r="C4" s="79">
        <v>0.09</v>
      </c>
      <c r="D4" s="79">
        <v>0.04</v>
      </c>
      <c r="E4" s="64"/>
      <c r="F4" s="63">
        <v>0.09</v>
      </c>
      <c r="G4" s="79">
        <v>0.09</v>
      </c>
      <c r="H4" s="79">
        <v>0.04</v>
      </c>
      <c r="I4" s="64"/>
      <c r="J4" s="63">
        <v>0.09</v>
      </c>
      <c r="K4" s="79">
        <v>0.09</v>
      </c>
      <c r="L4" s="79">
        <v>0.04</v>
      </c>
      <c r="M4" s="64"/>
    </row>
    <row r="5" spans="1:18" x14ac:dyDescent="0.2">
      <c r="A5" t="s">
        <v>36</v>
      </c>
      <c r="B5" s="63">
        <v>7.0000000000000007E-2</v>
      </c>
      <c r="C5" s="79">
        <v>7.0000000000000007E-2</v>
      </c>
      <c r="D5" s="79">
        <v>7.0000000000000007E-2</v>
      </c>
      <c r="E5" s="64"/>
      <c r="F5" s="63">
        <v>7.0000000000000007E-2</v>
      </c>
      <c r="G5" s="79">
        <v>7.0000000000000007E-2</v>
      </c>
      <c r="H5" s="79">
        <v>7.0000000000000007E-2</v>
      </c>
      <c r="I5" s="64"/>
      <c r="J5" s="63">
        <v>7.0000000000000007E-2</v>
      </c>
      <c r="K5" s="79">
        <v>7.0000000000000007E-2</v>
      </c>
      <c r="L5" s="79">
        <v>7.0000000000000007E-2</v>
      </c>
      <c r="M5" s="64"/>
    </row>
    <row r="6" spans="1:18" ht="16" thickBot="1" x14ac:dyDescent="0.25">
      <c r="A6" t="s">
        <v>192</v>
      </c>
      <c r="B6" s="63">
        <v>1000</v>
      </c>
      <c r="C6" s="79">
        <v>1000</v>
      </c>
      <c r="D6" s="79">
        <v>1000</v>
      </c>
      <c r="E6" s="64"/>
      <c r="F6" s="63">
        <v>1000</v>
      </c>
      <c r="G6" s="79">
        <v>1000</v>
      </c>
      <c r="H6" s="79">
        <v>1000</v>
      </c>
      <c r="I6" s="64"/>
      <c r="J6" s="63">
        <v>1000</v>
      </c>
      <c r="K6" s="79">
        <v>1000</v>
      </c>
      <c r="L6" s="79">
        <v>1000</v>
      </c>
      <c r="M6" s="64"/>
    </row>
    <row r="7" spans="1:18" ht="16" thickBot="1" x14ac:dyDescent="0.25">
      <c r="A7" s="69" t="s">
        <v>63</v>
      </c>
      <c r="B7" s="80">
        <f>-PV(B5/2,B3*2,B4/2*B6,B6)</f>
        <v>1068.7395553667857</v>
      </c>
      <c r="C7" s="70">
        <f t="shared" ref="C7:D7" si="0">-PV(C5/2,C3*2,C4/2*C6,C6)</f>
        <v>1234.5561787062124</v>
      </c>
      <c r="D7" s="70">
        <f t="shared" si="0"/>
        <v>648.1657319406811</v>
      </c>
      <c r="E7" s="71"/>
      <c r="F7" s="80">
        <f>SUM(D78:D137)</f>
        <v>1068.7395553667861</v>
      </c>
      <c r="G7" s="70">
        <f>SUM(H78:H137)</f>
        <v>1060.3319005602746</v>
      </c>
      <c r="H7" s="70">
        <f>SUM(L78:L137)</f>
        <v>519.70513745588892</v>
      </c>
      <c r="I7" s="71"/>
      <c r="J7" s="80">
        <f>SUM(D141:D200)</f>
        <v>1044.9929055448313</v>
      </c>
      <c r="K7" s="70">
        <f>SUM(H141:H200)</f>
        <v>1350.28384261632</v>
      </c>
      <c r="L7" s="70">
        <f>SUM(L141:L200)</f>
        <v>741.49483858636938</v>
      </c>
      <c r="M7" s="71"/>
    </row>
    <row r="8" spans="1:18" ht="16" thickBot="1" x14ac:dyDescent="0.25">
      <c r="A8" s="72" t="s">
        <v>207</v>
      </c>
      <c r="B8" s="80">
        <v>1068.7395553667861</v>
      </c>
      <c r="C8" s="70">
        <v>1060.3319005602746</v>
      </c>
      <c r="D8" s="70">
        <v>519.70513745588892</v>
      </c>
      <c r="E8" s="73"/>
      <c r="F8" s="73"/>
      <c r="G8" s="73"/>
      <c r="H8" s="73"/>
      <c r="I8" s="73"/>
      <c r="J8" s="73"/>
      <c r="K8" s="73"/>
      <c r="L8" s="73"/>
      <c r="M8" s="73"/>
    </row>
    <row r="9" spans="1:18" ht="16" thickBot="1" x14ac:dyDescent="0.25">
      <c r="A9" s="72" t="s">
        <v>208</v>
      </c>
      <c r="B9" s="80">
        <v>1044.9929055448313</v>
      </c>
      <c r="C9" s="70">
        <v>1350.28384261632</v>
      </c>
      <c r="D9" s="70">
        <v>741.49483858636938</v>
      </c>
      <c r="E9" s="73"/>
      <c r="F9" s="73"/>
      <c r="G9" s="73"/>
      <c r="H9" s="73"/>
      <c r="I9" s="73"/>
      <c r="J9" s="73"/>
      <c r="K9" s="73"/>
      <c r="L9" s="73"/>
      <c r="M9" s="73"/>
    </row>
    <row r="10" spans="1:18" x14ac:dyDescent="0.2">
      <c r="A10" s="72" t="s">
        <v>205</v>
      </c>
      <c r="B10" s="82">
        <f>B8/B$7-1</f>
        <v>0</v>
      </c>
      <c r="C10" s="82">
        <f t="shared" ref="C10:D11" si="1">C8/C$7-1</f>
        <v>-0.14112300529613897</v>
      </c>
      <c r="D10" s="82">
        <f t="shared" si="1"/>
        <v>-0.19819096899826327</v>
      </c>
      <c r="E10" s="73"/>
      <c r="F10" s="81">
        <f>SUM(F78:F137)</f>
        <v>6.9347793407902873</v>
      </c>
      <c r="G10" s="73">
        <f>SUM(J78:J137)</f>
        <v>16.870500324334319</v>
      </c>
      <c r="H10" s="73"/>
      <c r="I10" s="73"/>
      <c r="J10" s="73"/>
      <c r="K10" s="73"/>
      <c r="L10" s="73"/>
      <c r="M10" s="73"/>
    </row>
    <row r="11" spans="1:18" x14ac:dyDescent="0.2">
      <c r="A11" t="s">
        <v>206</v>
      </c>
      <c r="B11" s="82">
        <f>(B9/$B$7-1)</f>
        <v>-2.2219304696554087E-2</v>
      </c>
      <c r="C11" s="73">
        <f t="shared" si="1"/>
        <v>9.374029785455984E-2</v>
      </c>
      <c r="D11" s="73">
        <f t="shared" si="1"/>
        <v>0.14398957249136024</v>
      </c>
    </row>
    <row r="12" spans="1:18" ht="16" thickBot="1" x14ac:dyDescent="0.25"/>
    <row r="13" spans="1:18" s="57" customFormat="1" ht="16" x14ac:dyDescent="0.2">
      <c r="A13" s="53"/>
      <c r="B13" s="53"/>
      <c r="C13" s="54" t="s">
        <v>188</v>
      </c>
      <c r="D13" s="55"/>
      <c r="E13" s="55"/>
      <c r="F13" s="56"/>
      <c r="G13" s="54" t="s">
        <v>189</v>
      </c>
      <c r="H13" s="55"/>
      <c r="I13" s="55"/>
      <c r="J13" s="56"/>
      <c r="K13" s="54" t="s">
        <v>190</v>
      </c>
      <c r="L13" s="55"/>
      <c r="M13" s="55"/>
      <c r="N13" s="56"/>
      <c r="O13" s="54" t="s">
        <v>191</v>
      </c>
      <c r="P13" s="55"/>
      <c r="Q13" s="55"/>
      <c r="R13" s="56"/>
    </row>
    <row r="14" spans="1:18" ht="16" x14ac:dyDescent="0.2">
      <c r="A14" s="75" t="s">
        <v>204</v>
      </c>
      <c r="B14" s="58" t="s">
        <v>67</v>
      </c>
      <c r="C14" s="59" t="s">
        <v>194</v>
      </c>
      <c r="D14" s="60" t="s">
        <v>195</v>
      </c>
      <c r="E14" s="60" t="s">
        <v>71</v>
      </c>
      <c r="F14" s="61" t="s">
        <v>196</v>
      </c>
      <c r="G14" s="59" t="s">
        <v>194</v>
      </c>
      <c r="H14" s="60" t="s">
        <v>195</v>
      </c>
      <c r="I14" s="60" t="s">
        <v>71</v>
      </c>
      <c r="J14" s="61" t="s">
        <v>196</v>
      </c>
      <c r="K14" s="59" t="s">
        <v>194</v>
      </c>
      <c r="L14" s="60" t="s">
        <v>195</v>
      </c>
      <c r="M14" s="60" t="s">
        <v>71</v>
      </c>
      <c r="N14" s="61" t="s">
        <v>196</v>
      </c>
      <c r="O14" s="59" t="s">
        <v>194</v>
      </c>
      <c r="P14" s="60" t="s">
        <v>195</v>
      </c>
      <c r="Q14" s="60" t="s">
        <v>71</v>
      </c>
      <c r="R14" s="61" t="s">
        <v>196</v>
      </c>
    </row>
    <row r="15" spans="1:18" x14ac:dyDescent="0.2">
      <c r="A15" s="62">
        <v>3.5000000000000003E-2</v>
      </c>
      <c r="B15" s="62">
        <v>1</v>
      </c>
      <c r="C15" s="63">
        <f>IF(B15=2*$B$3, $B$6 + $B$4/2*$B$6, IF(B15&gt;2*$B$3,0, $B$4/2*$B$6))</f>
        <v>45</v>
      </c>
      <c r="D15">
        <f>C15/(1+A15)^B15</f>
        <v>43.478260869565219</v>
      </c>
      <c r="E15">
        <f>D15/SUM($D$15:$D$74)</f>
        <v>4.0681811252549452E-2</v>
      </c>
      <c r="F15" s="64">
        <f>E15*B15</f>
        <v>4.0681811252549452E-2</v>
      </c>
      <c r="G15" s="63">
        <f>IF(B15=2*$C$3, $C$6 + $C$4/2*$C$6, IF(B15&gt;2*$C$3,0, $C$4/2*$C$6))</f>
        <v>45</v>
      </c>
      <c r="H15">
        <f>G15/(1+A15)^$B15</f>
        <v>43.478260869565219</v>
      </c>
      <c r="I15">
        <f>H15/SUM($H$15:$H$74)</f>
        <v>3.5217725705386185E-2</v>
      </c>
      <c r="J15" s="64">
        <f>I15*B15</f>
        <v>3.5217725705386185E-2</v>
      </c>
      <c r="K15" s="63">
        <f>IF(B15=2*$D$3, $D$6 + $D$4/2*$D$6, IF(B15&gt;2*$D$3,0, $D$4/2*$D$6))</f>
        <v>20</v>
      </c>
      <c r="L15">
        <f>K15/(1+A15)^B15</f>
        <v>19.323671497584542</v>
      </c>
      <c r="M15">
        <f>L15/SUM($L$15:$L$74)</f>
        <v>2.9812855794963518E-2</v>
      </c>
      <c r="N15" s="64">
        <f>M15*B15</f>
        <v>2.9812855794963518E-2</v>
      </c>
      <c r="O15" s="63">
        <f>IF(B15=2*$E$3, $E$6 + $E$4/2*$E$6, IF(B15&gt;2*$E$3,0, $E$4/2*$E$6))</f>
        <v>0</v>
      </c>
      <c r="P15">
        <f>O15/(1+A15)^B15</f>
        <v>0</v>
      </c>
      <c r="Q15" t="e">
        <f>P15/SUM($P$15:$P$74)</f>
        <v>#DIV/0!</v>
      </c>
      <c r="R15" s="64" t="e">
        <f>Q15*B15</f>
        <v>#DIV/0!</v>
      </c>
    </row>
    <row r="16" spans="1:18" x14ac:dyDescent="0.2">
      <c r="A16" s="62">
        <v>3.5000000000000003E-2</v>
      </c>
      <c r="B16" s="62">
        <v>2</v>
      </c>
      <c r="C16" s="63">
        <f t="shared" ref="C16:C74" si="2">IF(B16=2*$B$3, $B$6 + $B$4/2*$B$6, IF(B16&gt;2*$B$3,0, $B$4/2*$B$6))</f>
        <v>45</v>
      </c>
      <c r="D16">
        <f t="shared" ref="D16:D74" si="3">C16/(1+A16)^B16</f>
        <v>42.007981516488137</v>
      </c>
      <c r="E16">
        <f t="shared" ref="E16:E74" si="4">D16/SUM($D$15:$D$74)</f>
        <v>3.9306097828550199E-2</v>
      </c>
      <c r="F16" s="64">
        <f t="shared" ref="F16:F74" si="5">E16*B16</f>
        <v>7.8612195657100398E-2</v>
      </c>
      <c r="G16" s="63">
        <f t="shared" ref="G16:G74" si="6">IF(B16=2*$C$3, $C$6 + $C$4/2*$C$6, IF(B16&gt;2*$C$3,0, $C$4/2*$C$6))</f>
        <v>45</v>
      </c>
      <c r="H16">
        <f t="shared" ref="H16:H74" si="7">G16/(1+A16)^$B16</f>
        <v>42.007981516488137</v>
      </c>
      <c r="I16">
        <f t="shared" ref="I16:I74" si="8">H16/SUM($H$15:$H$74)</f>
        <v>3.4026788121146075E-2</v>
      </c>
      <c r="J16" s="64">
        <f t="shared" ref="J16:J74" si="9">I16*B16</f>
        <v>6.8053576242292149E-2</v>
      </c>
      <c r="K16" s="63">
        <f t="shared" ref="K16:K74" si="10">IF(B16=2*$D$3, $D$6 + $D$4/2*$D$6, IF(B16&gt;2*$D$3,0, $D$4/2*$D$6))</f>
        <v>20</v>
      </c>
      <c r="L16">
        <f t="shared" ref="L16:L74" si="11">K16/(1+A16)^B16</f>
        <v>18.67021400732806</v>
      </c>
      <c r="M16">
        <f t="shared" ref="M16:M74" si="12">L16/SUM($L$15:$L$74)</f>
        <v>2.8804691589336733E-2</v>
      </c>
      <c r="N16" s="64">
        <f t="shared" ref="N16:N74" si="13">M16*B16</f>
        <v>5.7609383178673465E-2</v>
      </c>
      <c r="O16" s="63">
        <f t="shared" ref="O16:O74" si="14">IF(B16=2*$E$3, $E$6 + $E$4/2*$E$6, IF(B16&gt;2*$E$3,0, $E$4/2*$E$6))</f>
        <v>0</v>
      </c>
      <c r="P16">
        <f t="shared" ref="P16:P74" si="15">O16/(1+A16)^B16</f>
        <v>0</v>
      </c>
      <c r="Q16" t="e">
        <f t="shared" ref="Q16:Q74" si="16">P16/SUM($P$15:$P$74)</f>
        <v>#DIV/0!</v>
      </c>
      <c r="R16" s="64" t="e">
        <f t="shared" ref="R16:R74" si="17">Q16*B16</f>
        <v>#DIV/0!</v>
      </c>
    </row>
    <row r="17" spans="1:18" x14ac:dyDescent="0.2">
      <c r="A17" s="62">
        <v>3.5000000000000003E-2</v>
      </c>
      <c r="B17" s="62">
        <v>3</v>
      </c>
      <c r="C17" s="63">
        <f t="shared" si="2"/>
        <v>45</v>
      </c>
      <c r="D17">
        <f t="shared" si="3"/>
        <v>40.587421755061008</v>
      </c>
      <c r="E17">
        <f t="shared" si="4"/>
        <v>3.7976906114541263E-2</v>
      </c>
      <c r="F17" s="64">
        <f t="shared" si="5"/>
        <v>0.11393071834362378</v>
      </c>
      <c r="G17" s="63">
        <f t="shared" si="6"/>
        <v>45</v>
      </c>
      <c r="H17">
        <f t="shared" si="7"/>
        <v>40.587421755061008</v>
      </c>
      <c r="I17">
        <f t="shared" si="8"/>
        <v>3.2876123788546943E-2</v>
      </c>
      <c r="J17" s="64">
        <f t="shared" si="9"/>
        <v>9.862837136564083E-2</v>
      </c>
      <c r="K17" s="63">
        <f t="shared" si="10"/>
        <v>20</v>
      </c>
      <c r="L17">
        <f t="shared" si="11"/>
        <v>18.038854113360447</v>
      </c>
      <c r="M17">
        <f t="shared" si="12"/>
        <v>2.7830619893078973E-2</v>
      </c>
      <c r="N17" s="64">
        <f t="shared" si="13"/>
        <v>8.3491859679236918E-2</v>
      </c>
      <c r="O17" s="63">
        <f t="shared" si="14"/>
        <v>0</v>
      </c>
      <c r="P17">
        <f t="shared" si="15"/>
        <v>0</v>
      </c>
      <c r="Q17" t="e">
        <f t="shared" si="16"/>
        <v>#DIV/0!</v>
      </c>
      <c r="R17" s="64" t="e">
        <f t="shared" si="17"/>
        <v>#DIV/0!</v>
      </c>
    </row>
    <row r="18" spans="1:18" x14ac:dyDescent="0.2">
      <c r="A18" s="62">
        <v>3.5000000000000003E-2</v>
      </c>
      <c r="B18" s="62">
        <v>4</v>
      </c>
      <c r="C18" s="63">
        <f t="shared" si="2"/>
        <v>45</v>
      </c>
      <c r="D18">
        <f t="shared" si="3"/>
        <v>39.214900246435761</v>
      </c>
      <c r="E18">
        <f t="shared" si="4"/>
        <v>3.6692662912600253E-2</v>
      </c>
      <c r="F18" s="64">
        <f t="shared" si="5"/>
        <v>0.14677065165040101</v>
      </c>
      <c r="G18" s="63">
        <f t="shared" si="6"/>
        <v>45</v>
      </c>
      <c r="H18">
        <f t="shared" si="7"/>
        <v>39.214900246435761</v>
      </c>
      <c r="I18">
        <f t="shared" si="8"/>
        <v>3.1764370810190283E-2</v>
      </c>
      <c r="J18" s="64">
        <f t="shared" si="9"/>
        <v>0.12705748324076113</v>
      </c>
      <c r="K18" s="63">
        <f t="shared" si="10"/>
        <v>20</v>
      </c>
      <c r="L18">
        <f t="shared" si="11"/>
        <v>17.428844553971448</v>
      </c>
      <c r="M18">
        <f t="shared" si="12"/>
        <v>2.6889487819399975E-2</v>
      </c>
      <c r="N18" s="64">
        <f t="shared" si="13"/>
        <v>0.1075579512775999</v>
      </c>
      <c r="O18" s="63">
        <f t="shared" si="14"/>
        <v>0</v>
      </c>
      <c r="P18">
        <f t="shared" si="15"/>
        <v>0</v>
      </c>
      <c r="Q18" t="e">
        <f t="shared" si="16"/>
        <v>#DIV/0!</v>
      </c>
      <c r="R18" s="64" t="e">
        <f t="shared" si="17"/>
        <v>#DIV/0!</v>
      </c>
    </row>
    <row r="19" spans="1:18" x14ac:dyDescent="0.2">
      <c r="A19" s="62">
        <v>3.5000000000000003E-2</v>
      </c>
      <c r="B19" s="62">
        <v>5</v>
      </c>
      <c r="C19" s="63">
        <f t="shared" si="2"/>
        <v>45</v>
      </c>
      <c r="D19">
        <f t="shared" si="3"/>
        <v>37.888792508633585</v>
      </c>
      <c r="E19">
        <f t="shared" si="4"/>
        <v>3.5451848224734545E-2</v>
      </c>
      <c r="F19" s="64">
        <f t="shared" si="5"/>
        <v>0.17725924112367272</v>
      </c>
      <c r="G19" s="63">
        <f t="shared" si="6"/>
        <v>45</v>
      </c>
      <c r="H19">
        <f t="shared" si="7"/>
        <v>37.888792508633585</v>
      </c>
      <c r="I19">
        <f t="shared" si="8"/>
        <v>3.0690213343179017E-2</v>
      </c>
      <c r="J19" s="64">
        <f t="shared" si="9"/>
        <v>0.15345106671589509</v>
      </c>
      <c r="K19" s="63">
        <f t="shared" si="10"/>
        <v>20</v>
      </c>
      <c r="L19">
        <f t="shared" si="11"/>
        <v>16.839463337170482</v>
      </c>
      <c r="M19">
        <f t="shared" si="12"/>
        <v>2.5980181468019302E-2</v>
      </c>
      <c r="N19" s="64">
        <f t="shared" si="13"/>
        <v>0.12990090734009652</v>
      </c>
      <c r="O19" s="63">
        <f t="shared" si="14"/>
        <v>0</v>
      </c>
      <c r="P19">
        <f t="shared" si="15"/>
        <v>0</v>
      </c>
      <c r="Q19" t="e">
        <f t="shared" si="16"/>
        <v>#DIV/0!</v>
      </c>
      <c r="R19" s="64" t="e">
        <f t="shared" si="17"/>
        <v>#DIV/0!</v>
      </c>
    </row>
    <row r="20" spans="1:18" x14ac:dyDescent="0.2">
      <c r="A20" s="62">
        <v>3.5000000000000003E-2</v>
      </c>
      <c r="B20" s="62">
        <v>6</v>
      </c>
      <c r="C20" s="63">
        <f t="shared" si="2"/>
        <v>45</v>
      </c>
      <c r="D20">
        <f t="shared" si="3"/>
        <v>36.607528993848874</v>
      </c>
      <c r="E20">
        <f t="shared" si="4"/>
        <v>3.42529934538498E-2</v>
      </c>
      <c r="F20" s="64">
        <f t="shared" si="5"/>
        <v>0.2055179607230988</v>
      </c>
      <c r="G20" s="63">
        <f t="shared" si="6"/>
        <v>45</v>
      </c>
      <c r="H20">
        <f t="shared" si="7"/>
        <v>36.607528993848874</v>
      </c>
      <c r="I20">
        <f t="shared" si="8"/>
        <v>2.9652380041718857E-2</v>
      </c>
      <c r="J20" s="64">
        <f t="shared" si="9"/>
        <v>0.17791428025031314</v>
      </c>
      <c r="K20" s="63">
        <f t="shared" si="10"/>
        <v>20</v>
      </c>
      <c r="L20">
        <f t="shared" si="11"/>
        <v>16.270012886155055</v>
      </c>
      <c r="M20">
        <f t="shared" si="12"/>
        <v>2.5101624606781933E-2</v>
      </c>
      <c r="N20" s="64">
        <f t="shared" si="13"/>
        <v>0.1506097476406916</v>
      </c>
      <c r="O20" s="63">
        <f t="shared" si="14"/>
        <v>0</v>
      </c>
      <c r="P20">
        <f t="shared" si="15"/>
        <v>0</v>
      </c>
      <c r="Q20" t="e">
        <f t="shared" si="16"/>
        <v>#DIV/0!</v>
      </c>
      <c r="R20" s="64" t="e">
        <f t="shared" si="17"/>
        <v>#DIV/0!</v>
      </c>
    </row>
    <row r="21" spans="1:18" x14ac:dyDescent="0.2">
      <c r="A21" s="62">
        <v>3.5000000000000003E-2</v>
      </c>
      <c r="B21" s="62">
        <v>7</v>
      </c>
      <c r="C21" s="63">
        <f t="shared" si="2"/>
        <v>45</v>
      </c>
      <c r="D21">
        <f t="shared" si="3"/>
        <v>35.369593230771862</v>
      </c>
      <c r="E21">
        <f t="shared" si="4"/>
        <v>3.309467966555537E-2</v>
      </c>
      <c r="F21" s="64">
        <f t="shared" si="5"/>
        <v>0.23166275765888758</v>
      </c>
      <c r="G21" s="63">
        <f t="shared" si="6"/>
        <v>45</v>
      </c>
      <c r="H21">
        <f t="shared" si="7"/>
        <v>35.369593230771862</v>
      </c>
      <c r="I21">
        <f t="shared" si="8"/>
        <v>2.8649642552385373E-2</v>
      </c>
      <c r="J21" s="64">
        <f t="shared" si="9"/>
        <v>0.20054749786669762</v>
      </c>
      <c r="K21" s="63">
        <f t="shared" si="10"/>
        <v>20</v>
      </c>
      <c r="L21">
        <f t="shared" si="11"/>
        <v>15.719819213676383</v>
      </c>
      <c r="M21">
        <f t="shared" si="12"/>
        <v>2.4252777397856942E-2</v>
      </c>
      <c r="N21" s="64">
        <f t="shared" si="13"/>
        <v>0.16976944178499859</v>
      </c>
      <c r="O21" s="63">
        <f t="shared" si="14"/>
        <v>0</v>
      </c>
      <c r="P21">
        <f t="shared" si="15"/>
        <v>0</v>
      </c>
      <c r="Q21" t="e">
        <f t="shared" si="16"/>
        <v>#DIV/0!</v>
      </c>
      <c r="R21" s="64" t="e">
        <f t="shared" si="17"/>
        <v>#DIV/0!</v>
      </c>
    </row>
    <row r="22" spans="1:18" x14ac:dyDescent="0.2">
      <c r="A22" s="62">
        <v>3.5000000000000003E-2</v>
      </c>
      <c r="B22" s="62">
        <v>8</v>
      </c>
      <c r="C22" s="63">
        <f t="shared" si="2"/>
        <v>1045</v>
      </c>
      <c r="D22">
        <f t="shared" si="3"/>
        <v>793.58507624598178</v>
      </c>
      <c r="E22">
        <f t="shared" si="4"/>
        <v>0.74254300054761924</v>
      </c>
      <c r="F22" s="64">
        <f t="shared" si="5"/>
        <v>5.9403440043809539</v>
      </c>
      <c r="G22" s="63">
        <f t="shared" si="6"/>
        <v>45</v>
      </c>
      <c r="H22">
        <f t="shared" si="7"/>
        <v>34.173520029731272</v>
      </c>
      <c r="I22">
        <f t="shared" si="8"/>
        <v>2.7680814060275723E-2</v>
      </c>
      <c r="J22" s="64">
        <f t="shared" si="9"/>
        <v>0.22144651248220579</v>
      </c>
      <c r="K22" s="63">
        <f t="shared" si="10"/>
        <v>20</v>
      </c>
      <c r="L22">
        <f t="shared" si="11"/>
        <v>15.188231124325011</v>
      </c>
      <c r="M22">
        <f t="shared" si="12"/>
        <v>2.3432635167011544E-2</v>
      </c>
      <c r="N22" s="64">
        <f t="shared" si="13"/>
        <v>0.18746108133609235</v>
      </c>
      <c r="O22" s="63">
        <f t="shared" si="14"/>
        <v>0</v>
      </c>
      <c r="P22">
        <f t="shared" si="15"/>
        <v>0</v>
      </c>
      <c r="Q22" t="e">
        <f t="shared" si="16"/>
        <v>#DIV/0!</v>
      </c>
      <c r="R22" s="64" t="e">
        <f t="shared" si="17"/>
        <v>#DIV/0!</v>
      </c>
    </row>
    <row r="23" spans="1:18" x14ac:dyDescent="0.2">
      <c r="A23" s="62">
        <v>3.5000000000000003E-2</v>
      </c>
      <c r="B23" s="62">
        <v>9</v>
      </c>
      <c r="C23" s="63">
        <f t="shared" si="2"/>
        <v>0</v>
      </c>
      <c r="D23">
        <f t="shared" si="3"/>
        <v>0</v>
      </c>
      <c r="E23">
        <f t="shared" si="4"/>
        <v>0</v>
      </c>
      <c r="F23" s="64">
        <f t="shared" si="5"/>
        <v>0</v>
      </c>
      <c r="G23" s="63">
        <f t="shared" si="6"/>
        <v>45</v>
      </c>
      <c r="H23">
        <f t="shared" si="7"/>
        <v>33.017893748532636</v>
      </c>
      <c r="I23">
        <f t="shared" si="8"/>
        <v>2.6744747884324377E-2</v>
      </c>
      <c r="J23" s="64">
        <f t="shared" si="9"/>
        <v>0.24070273095891939</v>
      </c>
      <c r="K23" s="63">
        <f t="shared" si="10"/>
        <v>20</v>
      </c>
      <c r="L23">
        <f t="shared" si="11"/>
        <v>14.674619443792283</v>
      </c>
      <c r="M23">
        <f t="shared" si="12"/>
        <v>2.264022721450391E-2</v>
      </c>
      <c r="N23" s="64">
        <f t="shared" si="13"/>
        <v>0.20376204493053518</v>
      </c>
      <c r="O23" s="63">
        <f t="shared" si="14"/>
        <v>0</v>
      </c>
      <c r="P23">
        <f t="shared" si="15"/>
        <v>0</v>
      </c>
      <c r="Q23" t="e">
        <f t="shared" si="16"/>
        <v>#DIV/0!</v>
      </c>
      <c r="R23" s="64" t="e">
        <f t="shared" si="17"/>
        <v>#DIV/0!</v>
      </c>
    </row>
    <row r="24" spans="1:18" x14ac:dyDescent="0.2">
      <c r="A24" s="62">
        <v>3.5000000000000003E-2</v>
      </c>
      <c r="B24" s="62">
        <v>10</v>
      </c>
      <c r="C24" s="63">
        <f t="shared" si="2"/>
        <v>0</v>
      </c>
      <c r="D24">
        <f t="shared" si="3"/>
        <v>0</v>
      </c>
      <c r="E24">
        <f t="shared" si="4"/>
        <v>0</v>
      </c>
      <c r="F24" s="64">
        <f t="shared" si="5"/>
        <v>0</v>
      </c>
      <c r="G24" s="63">
        <f t="shared" si="6"/>
        <v>45</v>
      </c>
      <c r="H24">
        <f t="shared" si="7"/>
        <v>31.901346616939747</v>
      </c>
      <c r="I24">
        <f t="shared" si="8"/>
        <v>2.5840336120120173E-2</v>
      </c>
      <c r="J24" s="64">
        <f t="shared" si="9"/>
        <v>0.25840336120120172</v>
      </c>
      <c r="K24" s="63">
        <f t="shared" si="10"/>
        <v>20</v>
      </c>
      <c r="L24">
        <f t="shared" si="11"/>
        <v>14.178376274195443</v>
      </c>
      <c r="M24">
        <f t="shared" si="12"/>
        <v>2.1874615666187355E-2</v>
      </c>
      <c r="N24" s="64">
        <f t="shared" si="13"/>
        <v>0.21874615666187355</v>
      </c>
      <c r="O24" s="63">
        <f t="shared" si="14"/>
        <v>0</v>
      </c>
      <c r="P24">
        <f t="shared" si="15"/>
        <v>0</v>
      </c>
      <c r="Q24" t="e">
        <f t="shared" si="16"/>
        <v>#DIV/0!</v>
      </c>
      <c r="R24" s="64" t="e">
        <f t="shared" si="17"/>
        <v>#DIV/0!</v>
      </c>
    </row>
    <row r="25" spans="1:18" x14ac:dyDescent="0.2">
      <c r="A25" s="62">
        <v>3.5000000000000003E-2</v>
      </c>
      <c r="B25" s="62">
        <v>11</v>
      </c>
      <c r="C25" s="63">
        <f t="shared" si="2"/>
        <v>0</v>
      </c>
      <c r="D25">
        <f t="shared" si="3"/>
        <v>0</v>
      </c>
      <c r="E25">
        <f t="shared" si="4"/>
        <v>0</v>
      </c>
      <c r="F25" s="64">
        <f t="shared" si="5"/>
        <v>0</v>
      </c>
      <c r="G25" s="63">
        <f t="shared" si="6"/>
        <v>45</v>
      </c>
      <c r="H25">
        <f t="shared" si="7"/>
        <v>30.822557117816181</v>
      </c>
      <c r="I25">
        <f t="shared" si="8"/>
        <v>2.4966508328618527E-2</v>
      </c>
      <c r="J25" s="64">
        <f t="shared" si="9"/>
        <v>0.27463159161480377</v>
      </c>
      <c r="K25" s="63">
        <f t="shared" si="10"/>
        <v>20</v>
      </c>
      <c r="L25">
        <f t="shared" si="11"/>
        <v>13.698914274584968</v>
      </c>
      <c r="M25">
        <f t="shared" si="12"/>
        <v>2.113489436346604E-2</v>
      </c>
      <c r="N25" s="64">
        <f t="shared" si="13"/>
        <v>0.23248383799812644</v>
      </c>
      <c r="O25" s="63">
        <f t="shared" si="14"/>
        <v>0</v>
      </c>
      <c r="P25">
        <f t="shared" si="15"/>
        <v>0</v>
      </c>
      <c r="Q25" t="e">
        <f t="shared" si="16"/>
        <v>#DIV/0!</v>
      </c>
      <c r="R25" s="64" t="e">
        <f t="shared" si="17"/>
        <v>#DIV/0!</v>
      </c>
    </row>
    <row r="26" spans="1:18" x14ac:dyDescent="0.2">
      <c r="A26" s="62">
        <v>3.5000000000000003E-2</v>
      </c>
      <c r="B26" s="62">
        <v>12</v>
      </c>
      <c r="C26" s="63">
        <f t="shared" si="2"/>
        <v>0</v>
      </c>
      <c r="D26">
        <f t="shared" si="3"/>
        <v>0</v>
      </c>
      <c r="E26">
        <f t="shared" si="4"/>
        <v>0</v>
      </c>
      <c r="F26" s="64">
        <f t="shared" si="5"/>
        <v>0</v>
      </c>
      <c r="G26" s="63">
        <f t="shared" si="6"/>
        <v>45</v>
      </c>
      <c r="H26">
        <f t="shared" si="7"/>
        <v>29.780248423010804</v>
      </c>
      <c r="I26">
        <f t="shared" si="8"/>
        <v>2.4122230269196642E-2</v>
      </c>
      <c r="J26" s="64">
        <f t="shared" si="9"/>
        <v>0.28946676323035969</v>
      </c>
      <c r="K26" s="63">
        <f t="shared" si="10"/>
        <v>20</v>
      </c>
      <c r="L26">
        <f t="shared" si="11"/>
        <v>13.23566596578258</v>
      </c>
      <c r="M26">
        <f t="shared" si="12"/>
        <v>2.0420187790788448E-2</v>
      </c>
      <c r="N26" s="64">
        <f t="shared" si="13"/>
        <v>0.24504225348946138</v>
      </c>
      <c r="O26" s="63">
        <f t="shared" si="14"/>
        <v>0</v>
      </c>
      <c r="P26">
        <f t="shared" si="15"/>
        <v>0</v>
      </c>
      <c r="Q26" t="e">
        <f t="shared" si="16"/>
        <v>#DIV/0!</v>
      </c>
      <c r="R26" s="64" t="e">
        <f t="shared" si="17"/>
        <v>#DIV/0!</v>
      </c>
    </row>
    <row r="27" spans="1:18" x14ac:dyDescent="0.2">
      <c r="A27" s="62">
        <v>3.5000000000000003E-2</v>
      </c>
      <c r="B27" s="62">
        <v>13</v>
      </c>
      <c r="C27" s="63">
        <f t="shared" si="2"/>
        <v>0</v>
      </c>
      <c r="D27">
        <f t="shared" si="3"/>
        <v>0</v>
      </c>
      <c r="E27">
        <f t="shared" si="4"/>
        <v>0</v>
      </c>
      <c r="F27" s="64">
        <f t="shared" si="5"/>
        <v>0</v>
      </c>
      <c r="G27" s="63">
        <f t="shared" si="6"/>
        <v>45</v>
      </c>
      <c r="H27">
        <f t="shared" si="7"/>
        <v>28.773186882136049</v>
      </c>
      <c r="I27">
        <f t="shared" si="8"/>
        <v>2.3306502675552319E-2</v>
      </c>
      <c r="J27" s="64">
        <f t="shared" si="9"/>
        <v>0.30298453478218013</v>
      </c>
      <c r="K27" s="63">
        <f t="shared" si="10"/>
        <v>20</v>
      </c>
      <c r="L27">
        <f t="shared" si="11"/>
        <v>12.788083058727134</v>
      </c>
      <c r="M27">
        <f t="shared" si="12"/>
        <v>1.9729650039409134E-2</v>
      </c>
      <c r="N27" s="64">
        <f t="shared" si="13"/>
        <v>0.25648545051231875</v>
      </c>
      <c r="O27" s="63">
        <f t="shared" si="14"/>
        <v>0</v>
      </c>
      <c r="P27">
        <f t="shared" si="15"/>
        <v>0</v>
      </c>
      <c r="Q27" t="e">
        <f t="shared" si="16"/>
        <v>#DIV/0!</v>
      </c>
      <c r="R27" s="64" t="e">
        <f t="shared" si="17"/>
        <v>#DIV/0!</v>
      </c>
    </row>
    <row r="28" spans="1:18" x14ac:dyDescent="0.2">
      <c r="A28" s="62">
        <v>3.5000000000000003E-2</v>
      </c>
      <c r="B28" s="62">
        <v>14</v>
      </c>
      <c r="C28" s="63">
        <f t="shared" si="2"/>
        <v>0</v>
      </c>
      <c r="D28">
        <f t="shared" si="3"/>
        <v>0</v>
      </c>
      <c r="E28">
        <f t="shared" si="4"/>
        <v>0</v>
      </c>
      <c r="F28" s="64">
        <f t="shared" si="5"/>
        <v>0</v>
      </c>
      <c r="G28" s="63">
        <f t="shared" si="6"/>
        <v>45</v>
      </c>
      <c r="H28">
        <f t="shared" si="7"/>
        <v>27.800180562450286</v>
      </c>
      <c r="I28">
        <f t="shared" si="8"/>
        <v>2.2518360072997408E-2</v>
      </c>
      <c r="J28" s="64">
        <f t="shared" si="9"/>
        <v>0.31525704102196372</v>
      </c>
      <c r="K28" s="63">
        <f t="shared" si="10"/>
        <v>20</v>
      </c>
      <c r="L28">
        <f t="shared" si="11"/>
        <v>12.35563580553346</v>
      </c>
      <c r="M28">
        <f t="shared" si="12"/>
        <v>1.9062463806192396E-2</v>
      </c>
      <c r="N28" s="64">
        <f t="shared" si="13"/>
        <v>0.26687449328669355</v>
      </c>
      <c r="O28" s="63">
        <f t="shared" si="14"/>
        <v>0</v>
      </c>
      <c r="P28">
        <f t="shared" si="15"/>
        <v>0</v>
      </c>
      <c r="Q28" t="e">
        <f t="shared" si="16"/>
        <v>#DIV/0!</v>
      </c>
      <c r="R28" s="64" t="e">
        <f t="shared" si="17"/>
        <v>#DIV/0!</v>
      </c>
    </row>
    <row r="29" spans="1:18" x14ac:dyDescent="0.2">
      <c r="A29" s="62">
        <v>3.5000000000000003E-2</v>
      </c>
      <c r="B29" s="62">
        <v>15</v>
      </c>
      <c r="C29" s="63">
        <f t="shared" si="2"/>
        <v>0</v>
      </c>
      <c r="D29">
        <f t="shared" si="3"/>
        <v>0</v>
      </c>
      <c r="E29">
        <f t="shared" si="4"/>
        <v>0</v>
      </c>
      <c r="F29" s="64">
        <f t="shared" si="5"/>
        <v>0</v>
      </c>
      <c r="G29" s="63">
        <f t="shared" si="6"/>
        <v>45</v>
      </c>
      <c r="H29">
        <f t="shared" si="7"/>
        <v>26.860077838116222</v>
      </c>
      <c r="I29">
        <f t="shared" si="8"/>
        <v>2.1756869635746291E-2</v>
      </c>
      <c r="J29" s="64">
        <f t="shared" si="9"/>
        <v>0.32635304453619435</v>
      </c>
      <c r="K29" s="63">
        <f t="shared" si="10"/>
        <v>20</v>
      </c>
      <c r="L29">
        <f t="shared" si="11"/>
        <v>11.937812372496099</v>
      </c>
      <c r="M29">
        <f t="shared" si="12"/>
        <v>1.8417839426272849E-2</v>
      </c>
      <c r="N29" s="64">
        <f t="shared" si="13"/>
        <v>0.27626759139409274</v>
      </c>
      <c r="O29" s="63">
        <f t="shared" si="14"/>
        <v>0</v>
      </c>
      <c r="P29">
        <f t="shared" si="15"/>
        <v>0</v>
      </c>
      <c r="Q29" t="e">
        <f t="shared" si="16"/>
        <v>#DIV/0!</v>
      </c>
      <c r="R29" s="64" t="e">
        <f t="shared" si="17"/>
        <v>#DIV/0!</v>
      </c>
    </row>
    <row r="30" spans="1:18" x14ac:dyDescent="0.2">
      <c r="A30" s="62">
        <v>3.5000000000000003E-2</v>
      </c>
      <c r="B30" s="62">
        <v>16</v>
      </c>
      <c r="C30" s="63">
        <f t="shared" si="2"/>
        <v>0</v>
      </c>
      <c r="D30">
        <f t="shared" si="3"/>
        <v>0</v>
      </c>
      <c r="E30">
        <f t="shared" si="4"/>
        <v>0</v>
      </c>
      <c r="F30" s="64">
        <f t="shared" si="5"/>
        <v>0</v>
      </c>
      <c r="G30" s="63">
        <f t="shared" si="6"/>
        <v>45</v>
      </c>
      <c r="H30">
        <f t="shared" si="7"/>
        <v>25.951766027165437</v>
      </c>
      <c r="I30">
        <f t="shared" si="8"/>
        <v>2.1021130082846659E-2</v>
      </c>
      <c r="J30" s="64">
        <f t="shared" si="9"/>
        <v>0.33633808132554655</v>
      </c>
      <c r="K30" s="63">
        <f t="shared" si="10"/>
        <v>20</v>
      </c>
      <c r="L30">
        <f t="shared" si="11"/>
        <v>11.53411823429575</v>
      </c>
      <c r="M30">
        <f t="shared" si="12"/>
        <v>1.7795013938427879E-2</v>
      </c>
      <c r="N30" s="64">
        <f t="shared" si="13"/>
        <v>0.28472022301484606</v>
      </c>
      <c r="O30" s="63">
        <f t="shared" si="14"/>
        <v>0</v>
      </c>
      <c r="P30">
        <f t="shared" si="15"/>
        <v>0</v>
      </c>
      <c r="Q30" t="e">
        <f t="shared" si="16"/>
        <v>#DIV/0!</v>
      </c>
      <c r="R30" s="64" t="e">
        <f t="shared" si="17"/>
        <v>#DIV/0!</v>
      </c>
    </row>
    <row r="31" spans="1:18" x14ac:dyDescent="0.2">
      <c r="A31" s="62">
        <v>3.5000000000000003E-2</v>
      </c>
      <c r="B31" s="62">
        <v>17</v>
      </c>
      <c r="C31" s="63">
        <f t="shared" si="2"/>
        <v>0</v>
      </c>
      <c r="D31">
        <f t="shared" si="3"/>
        <v>0</v>
      </c>
      <c r="E31">
        <f t="shared" si="4"/>
        <v>0</v>
      </c>
      <c r="F31" s="64">
        <f t="shared" si="5"/>
        <v>0</v>
      </c>
      <c r="G31" s="63">
        <f t="shared" si="6"/>
        <v>45</v>
      </c>
      <c r="H31">
        <f t="shared" si="7"/>
        <v>25.07417007455598</v>
      </c>
      <c r="I31">
        <f t="shared" si="8"/>
        <v>2.0310270611446048E-2</v>
      </c>
      <c r="J31" s="64">
        <f t="shared" si="9"/>
        <v>0.3452746003945828</v>
      </c>
      <c r="K31" s="63">
        <f t="shared" si="10"/>
        <v>20</v>
      </c>
      <c r="L31">
        <f t="shared" si="11"/>
        <v>11.144075588691546</v>
      </c>
      <c r="M31">
        <f t="shared" si="12"/>
        <v>1.7193250182055923E-2</v>
      </c>
      <c r="N31" s="64">
        <f t="shared" si="13"/>
        <v>0.29228525309495068</v>
      </c>
      <c r="O31" s="63">
        <f t="shared" si="14"/>
        <v>0</v>
      </c>
      <c r="P31">
        <f t="shared" si="15"/>
        <v>0</v>
      </c>
      <c r="Q31" t="e">
        <f t="shared" si="16"/>
        <v>#DIV/0!</v>
      </c>
      <c r="R31" s="64" t="e">
        <f t="shared" si="17"/>
        <v>#DIV/0!</v>
      </c>
    </row>
    <row r="32" spans="1:18" x14ac:dyDescent="0.2">
      <c r="A32" s="62">
        <v>3.5000000000000003E-2</v>
      </c>
      <c r="B32" s="62">
        <v>18</v>
      </c>
      <c r="C32" s="63">
        <f t="shared" si="2"/>
        <v>0</v>
      </c>
      <c r="D32">
        <f t="shared" si="3"/>
        <v>0</v>
      </c>
      <c r="E32">
        <f t="shared" si="4"/>
        <v>0</v>
      </c>
      <c r="F32" s="64">
        <f t="shared" si="5"/>
        <v>0</v>
      </c>
      <c r="G32" s="63">
        <f t="shared" si="6"/>
        <v>45</v>
      </c>
      <c r="H32">
        <f t="shared" si="7"/>
        <v>24.226251279764234</v>
      </c>
      <c r="I32">
        <f t="shared" si="8"/>
        <v>1.9623449866131452E-2</v>
      </c>
      <c r="J32" s="64">
        <f t="shared" si="9"/>
        <v>0.35322209759036616</v>
      </c>
      <c r="K32" s="63">
        <f t="shared" si="10"/>
        <v>20</v>
      </c>
      <c r="L32">
        <f t="shared" si="11"/>
        <v>10.767222791006326</v>
      </c>
      <c r="M32">
        <f t="shared" si="12"/>
        <v>1.6611835924691714E-2</v>
      </c>
      <c r="N32" s="64">
        <f t="shared" si="13"/>
        <v>0.29901304664445083</v>
      </c>
      <c r="O32" s="63">
        <f t="shared" si="14"/>
        <v>0</v>
      </c>
      <c r="P32">
        <f t="shared" si="15"/>
        <v>0</v>
      </c>
      <c r="Q32" t="e">
        <f t="shared" si="16"/>
        <v>#DIV/0!</v>
      </c>
      <c r="R32" s="64" t="e">
        <f t="shared" si="17"/>
        <v>#DIV/0!</v>
      </c>
    </row>
    <row r="33" spans="1:18" x14ac:dyDescent="0.2">
      <c r="A33" s="62">
        <v>3.5000000000000003E-2</v>
      </c>
      <c r="B33" s="62">
        <v>19</v>
      </c>
      <c r="C33" s="63">
        <f t="shared" si="2"/>
        <v>0</v>
      </c>
      <c r="D33">
        <f t="shared" si="3"/>
        <v>0</v>
      </c>
      <c r="E33">
        <f t="shared" si="4"/>
        <v>0</v>
      </c>
      <c r="F33" s="64">
        <f t="shared" si="5"/>
        <v>0</v>
      </c>
      <c r="G33" s="63">
        <f t="shared" si="6"/>
        <v>45</v>
      </c>
      <c r="H33">
        <f t="shared" si="7"/>
        <v>23.407006067405057</v>
      </c>
      <c r="I33">
        <f t="shared" si="8"/>
        <v>1.8959854943122176E-2</v>
      </c>
      <c r="J33" s="64">
        <f t="shared" si="9"/>
        <v>0.36023724391932133</v>
      </c>
      <c r="K33" s="63">
        <f t="shared" si="10"/>
        <v>20</v>
      </c>
      <c r="L33">
        <f t="shared" si="11"/>
        <v>10.403113807735581</v>
      </c>
      <c r="M33">
        <f t="shared" si="12"/>
        <v>1.6050083019025808E-2</v>
      </c>
      <c r="N33" s="64">
        <f t="shared" si="13"/>
        <v>0.30495157736149037</v>
      </c>
      <c r="O33" s="63">
        <f t="shared" si="14"/>
        <v>0</v>
      </c>
      <c r="P33">
        <f t="shared" si="15"/>
        <v>0</v>
      </c>
      <c r="Q33" t="e">
        <f t="shared" si="16"/>
        <v>#DIV/0!</v>
      </c>
      <c r="R33" s="64" t="e">
        <f t="shared" si="17"/>
        <v>#DIV/0!</v>
      </c>
    </row>
    <row r="34" spans="1:18" x14ac:dyDescent="0.2">
      <c r="A34" s="62">
        <v>3.5000000000000003E-2</v>
      </c>
      <c r="B34" s="62">
        <v>20</v>
      </c>
      <c r="C34" s="63">
        <f t="shared" si="2"/>
        <v>0</v>
      </c>
      <c r="D34">
        <f t="shared" si="3"/>
        <v>0</v>
      </c>
      <c r="E34">
        <f t="shared" si="4"/>
        <v>0</v>
      </c>
      <c r="F34" s="64">
        <f t="shared" si="5"/>
        <v>0</v>
      </c>
      <c r="G34" s="63">
        <f t="shared" si="6"/>
        <v>45</v>
      </c>
      <c r="H34">
        <f t="shared" si="7"/>
        <v>22.61546479942518</v>
      </c>
      <c r="I34">
        <f t="shared" si="8"/>
        <v>1.831870042813737E-2</v>
      </c>
      <c r="J34" s="64">
        <f t="shared" si="9"/>
        <v>0.36637400856274738</v>
      </c>
      <c r="K34" s="63">
        <f t="shared" si="10"/>
        <v>20</v>
      </c>
      <c r="L34">
        <f t="shared" si="11"/>
        <v>10.051317688633413</v>
      </c>
      <c r="M34">
        <f t="shared" si="12"/>
        <v>1.5507326588430737E-2</v>
      </c>
      <c r="N34" s="64">
        <f t="shared" si="13"/>
        <v>0.31014653176861473</v>
      </c>
      <c r="O34" s="63">
        <f t="shared" si="14"/>
        <v>0</v>
      </c>
      <c r="P34">
        <f t="shared" si="15"/>
        <v>0</v>
      </c>
      <c r="Q34" t="e">
        <f t="shared" si="16"/>
        <v>#DIV/0!</v>
      </c>
      <c r="R34" s="64" t="e">
        <f t="shared" si="17"/>
        <v>#DIV/0!</v>
      </c>
    </row>
    <row r="35" spans="1:18" x14ac:dyDescent="0.2">
      <c r="A35" s="62">
        <v>3.5000000000000003E-2</v>
      </c>
      <c r="B35" s="62">
        <v>21</v>
      </c>
      <c r="C35" s="63">
        <f t="shared" si="2"/>
        <v>0</v>
      </c>
      <c r="D35">
        <f t="shared" si="3"/>
        <v>0</v>
      </c>
      <c r="E35">
        <f t="shared" si="4"/>
        <v>0</v>
      </c>
      <c r="F35" s="64">
        <f t="shared" si="5"/>
        <v>0</v>
      </c>
      <c r="G35" s="63">
        <f t="shared" si="6"/>
        <v>45</v>
      </c>
      <c r="H35">
        <f t="shared" si="7"/>
        <v>21.850690627463944</v>
      </c>
      <c r="I35">
        <f t="shared" si="8"/>
        <v>1.7699227466799392E-2</v>
      </c>
      <c r="J35" s="64">
        <f t="shared" si="9"/>
        <v>0.37168377680278725</v>
      </c>
      <c r="K35" s="63">
        <f t="shared" si="10"/>
        <v>20</v>
      </c>
      <c r="L35">
        <f t="shared" si="11"/>
        <v>9.7114180566506416</v>
      </c>
      <c r="M35">
        <f t="shared" si="12"/>
        <v>1.4982924240029699E-2</v>
      </c>
      <c r="N35" s="64">
        <f t="shared" si="13"/>
        <v>0.31464140904062365</v>
      </c>
      <c r="O35" s="63">
        <f t="shared" si="14"/>
        <v>0</v>
      </c>
      <c r="P35">
        <f t="shared" si="15"/>
        <v>0</v>
      </c>
      <c r="Q35" t="e">
        <f t="shared" si="16"/>
        <v>#DIV/0!</v>
      </c>
      <c r="R35" s="64" t="e">
        <f t="shared" si="17"/>
        <v>#DIV/0!</v>
      </c>
    </row>
    <row r="36" spans="1:18" x14ac:dyDescent="0.2">
      <c r="A36" s="62">
        <v>3.5000000000000003E-2</v>
      </c>
      <c r="B36" s="62">
        <v>22</v>
      </c>
      <c r="C36" s="63">
        <f t="shared" si="2"/>
        <v>0</v>
      </c>
      <c r="D36">
        <f t="shared" si="3"/>
        <v>0</v>
      </c>
      <c r="E36">
        <f t="shared" si="4"/>
        <v>0</v>
      </c>
      <c r="F36" s="64">
        <f t="shared" si="5"/>
        <v>0</v>
      </c>
      <c r="G36" s="63">
        <f t="shared" si="6"/>
        <v>45</v>
      </c>
      <c r="H36">
        <f t="shared" si="7"/>
        <v>21.111778384023136</v>
      </c>
      <c r="I36">
        <f t="shared" si="8"/>
        <v>1.7100702866472844E-2</v>
      </c>
      <c r="J36" s="64">
        <f t="shared" si="9"/>
        <v>0.37621546306240256</v>
      </c>
      <c r="K36" s="63">
        <f t="shared" si="10"/>
        <v>20</v>
      </c>
      <c r="L36">
        <f t="shared" si="11"/>
        <v>9.3830126151213928</v>
      </c>
      <c r="M36">
        <f t="shared" si="12"/>
        <v>1.4476255304376521E-2</v>
      </c>
      <c r="N36" s="64">
        <f t="shared" si="13"/>
        <v>0.31847761669628344</v>
      </c>
      <c r="O36" s="63">
        <f t="shared" si="14"/>
        <v>0</v>
      </c>
      <c r="P36">
        <f t="shared" si="15"/>
        <v>0</v>
      </c>
      <c r="Q36" t="e">
        <f t="shared" si="16"/>
        <v>#DIV/0!</v>
      </c>
      <c r="R36" s="64" t="e">
        <f t="shared" si="17"/>
        <v>#DIV/0!</v>
      </c>
    </row>
    <row r="37" spans="1:18" x14ac:dyDescent="0.2">
      <c r="A37" s="62">
        <v>3.5000000000000003E-2</v>
      </c>
      <c r="B37" s="62">
        <v>23</v>
      </c>
      <c r="C37" s="63">
        <f t="shared" si="2"/>
        <v>0</v>
      </c>
      <c r="D37">
        <f t="shared" si="3"/>
        <v>0</v>
      </c>
      <c r="E37">
        <f t="shared" si="4"/>
        <v>0</v>
      </c>
      <c r="F37" s="64">
        <f t="shared" si="5"/>
        <v>0</v>
      </c>
      <c r="G37" s="63">
        <f t="shared" si="6"/>
        <v>45</v>
      </c>
      <c r="H37">
        <f t="shared" si="7"/>
        <v>20.397853511133462</v>
      </c>
      <c r="I37">
        <f t="shared" si="8"/>
        <v>1.6522418228476176E-2</v>
      </c>
      <c r="J37" s="64">
        <f t="shared" si="9"/>
        <v>0.38001561925495203</v>
      </c>
      <c r="K37" s="63">
        <f t="shared" si="10"/>
        <v>20</v>
      </c>
      <c r="L37">
        <f t="shared" si="11"/>
        <v>9.0657126716148735</v>
      </c>
      <c r="M37">
        <f t="shared" si="12"/>
        <v>1.3986720100846882E-2</v>
      </c>
      <c r="N37" s="64">
        <f t="shared" si="13"/>
        <v>0.32169456231947829</v>
      </c>
      <c r="O37" s="63">
        <f t="shared" si="14"/>
        <v>0</v>
      </c>
      <c r="P37">
        <f t="shared" si="15"/>
        <v>0</v>
      </c>
      <c r="Q37" t="e">
        <f t="shared" si="16"/>
        <v>#DIV/0!</v>
      </c>
      <c r="R37" s="64" t="e">
        <f t="shared" si="17"/>
        <v>#DIV/0!</v>
      </c>
    </row>
    <row r="38" spans="1:18" x14ac:dyDescent="0.2">
      <c r="A38" s="62">
        <v>3.5000000000000003E-2</v>
      </c>
      <c r="B38" s="62">
        <v>24</v>
      </c>
      <c r="C38" s="63">
        <f t="shared" si="2"/>
        <v>0</v>
      </c>
      <c r="D38">
        <f t="shared" si="3"/>
        <v>0</v>
      </c>
      <c r="E38">
        <f t="shared" si="4"/>
        <v>0</v>
      </c>
      <c r="F38" s="64">
        <f t="shared" si="5"/>
        <v>0</v>
      </c>
      <c r="G38" s="63">
        <f t="shared" si="6"/>
        <v>45</v>
      </c>
      <c r="H38">
        <f t="shared" si="7"/>
        <v>19.708071025249726</v>
      </c>
      <c r="I38">
        <f t="shared" si="8"/>
        <v>1.5963689109638822E-2</v>
      </c>
      <c r="J38" s="64">
        <f t="shared" si="9"/>
        <v>0.38312853863133173</v>
      </c>
      <c r="K38" s="63">
        <f t="shared" si="10"/>
        <v>20</v>
      </c>
      <c r="L38">
        <f t="shared" si="11"/>
        <v>8.759142677888768</v>
      </c>
      <c r="M38">
        <f t="shared" si="12"/>
        <v>1.3513739227871385E-2</v>
      </c>
      <c r="N38" s="64">
        <f t="shared" si="13"/>
        <v>0.32432974146891325</v>
      </c>
      <c r="O38" s="63">
        <f t="shared" si="14"/>
        <v>0</v>
      </c>
      <c r="P38">
        <f t="shared" si="15"/>
        <v>0</v>
      </c>
      <c r="Q38" t="e">
        <f t="shared" si="16"/>
        <v>#DIV/0!</v>
      </c>
      <c r="R38" s="64" t="e">
        <f t="shared" si="17"/>
        <v>#DIV/0!</v>
      </c>
    </row>
    <row r="39" spans="1:18" x14ac:dyDescent="0.2">
      <c r="A39" s="62">
        <v>3.5000000000000003E-2</v>
      </c>
      <c r="B39" s="62">
        <v>25</v>
      </c>
      <c r="C39" s="63">
        <f t="shared" si="2"/>
        <v>0</v>
      </c>
      <c r="D39">
        <f t="shared" si="3"/>
        <v>0</v>
      </c>
      <c r="E39">
        <f t="shared" si="4"/>
        <v>0</v>
      </c>
      <c r="F39" s="64">
        <f t="shared" si="5"/>
        <v>0</v>
      </c>
      <c r="G39" s="63">
        <f t="shared" si="6"/>
        <v>45</v>
      </c>
      <c r="H39">
        <f t="shared" si="7"/>
        <v>19.041614517149497</v>
      </c>
      <c r="I39">
        <f t="shared" si="8"/>
        <v>1.5423854212211425E-2</v>
      </c>
      <c r="J39" s="64">
        <f t="shared" si="9"/>
        <v>0.38559635530528563</v>
      </c>
      <c r="K39" s="63">
        <f t="shared" si="10"/>
        <v>20</v>
      </c>
      <c r="L39">
        <f t="shared" si="11"/>
        <v>8.4629397853997759</v>
      </c>
      <c r="M39">
        <f t="shared" si="12"/>
        <v>1.3056752877170421E-2</v>
      </c>
      <c r="N39" s="64">
        <f t="shared" si="13"/>
        <v>0.32641882192926053</v>
      </c>
      <c r="O39" s="63">
        <f t="shared" si="14"/>
        <v>0</v>
      </c>
      <c r="P39">
        <f t="shared" si="15"/>
        <v>0</v>
      </c>
      <c r="Q39" t="e">
        <f t="shared" si="16"/>
        <v>#DIV/0!</v>
      </c>
      <c r="R39" s="64" t="e">
        <f t="shared" si="17"/>
        <v>#DIV/0!</v>
      </c>
    </row>
    <row r="40" spans="1:18" x14ac:dyDescent="0.2">
      <c r="A40" s="62">
        <v>3.5000000000000003E-2</v>
      </c>
      <c r="B40" s="62">
        <v>26</v>
      </c>
      <c r="C40" s="63">
        <f t="shared" si="2"/>
        <v>0</v>
      </c>
      <c r="D40">
        <f t="shared" si="3"/>
        <v>0</v>
      </c>
      <c r="E40">
        <f t="shared" si="4"/>
        <v>0</v>
      </c>
      <c r="F40" s="64">
        <f t="shared" si="5"/>
        <v>0</v>
      </c>
      <c r="G40" s="63">
        <f t="shared" si="6"/>
        <v>45</v>
      </c>
      <c r="H40">
        <f t="shared" si="7"/>
        <v>18.397695185651688</v>
      </c>
      <c r="I40">
        <f t="shared" si="8"/>
        <v>1.4902274601170459E-2</v>
      </c>
      <c r="J40" s="64">
        <f t="shared" si="9"/>
        <v>0.38745913963043194</v>
      </c>
      <c r="K40" s="63">
        <f t="shared" si="10"/>
        <v>20</v>
      </c>
      <c r="L40">
        <f t="shared" si="11"/>
        <v>8.1767534158451944</v>
      </c>
      <c r="M40">
        <f t="shared" si="12"/>
        <v>1.2615220171179151E-2</v>
      </c>
      <c r="N40" s="64">
        <f t="shared" si="13"/>
        <v>0.32799572445065794</v>
      </c>
      <c r="O40" s="63">
        <f t="shared" si="14"/>
        <v>0</v>
      </c>
      <c r="P40">
        <f t="shared" si="15"/>
        <v>0</v>
      </c>
      <c r="Q40" t="e">
        <f t="shared" si="16"/>
        <v>#DIV/0!</v>
      </c>
      <c r="R40" s="64" t="e">
        <f t="shared" si="17"/>
        <v>#DIV/0!</v>
      </c>
    </row>
    <row r="41" spans="1:18" x14ac:dyDescent="0.2">
      <c r="A41" s="62">
        <v>3.5000000000000003E-2</v>
      </c>
      <c r="B41" s="62">
        <v>27</v>
      </c>
      <c r="C41" s="63">
        <f t="shared" si="2"/>
        <v>0</v>
      </c>
      <c r="D41">
        <f t="shared" si="3"/>
        <v>0</v>
      </c>
      <c r="E41">
        <f t="shared" si="4"/>
        <v>0</v>
      </c>
      <c r="F41" s="64">
        <f t="shared" si="5"/>
        <v>0</v>
      </c>
      <c r="G41" s="63">
        <f t="shared" si="6"/>
        <v>45</v>
      </c>
      <c r="H41">
        <f t="shared" si="7"/>
        <v>17.775550904011293</v>
      </c>
      <c r="I41">
        <f t="shared" si="8"/>
        <v>1.4398332947990781E-2</v>
      </c>
      <c r="J41" s="64">
        <f t="shared" si="9"/>
        <v>0.38875498959575111</v>
      </c>
      <c r="K41" s="63">
        <f t="shared" si="10"/>
        <v>20</v>
      </c>
      <c r="L41">
        <f t="shared" si="11"/>
        <v>7.900244846227241</v>
      </c>
      <c r="M41">
        <f t="shared" si="12"/>
        <v>1.2188618522878407E-2</v>
      </c>
      <c r="N41" s="64">
        <f t="shared" si="13"/>
        <v>0.32909270011771702</v>
      </c>
      <c r="O41" s="63">
        <f t="shared" si="14"/>
        <v>0</v>
      </c>
      <c r="P41">
        <f t="shared" si="15"/>
        <v>0</v>
      </c>
      <c r="Q41" t="e">
        <f t="shared" si="16"/>
        <v>#DIV/0!</v>
      </c>
      <c r="R41" s="64" t="e">
        <f t="shared" si="17"/>
        <v>#DIV/0!</v>
      </c>
    </row>
    <row r="42" spans="1:18" x14ac:dyDescent="0.2">
      <c r="A42" s="62">
        <v>3.5000000000000003E-2</v>
      </c>
      <c r="B42" s="62">
        <v>28</v>
      </c>
      <c r="C42" s="63">
        <f t="shared" si="2"/>
        <v>0</v>
      </c>
      <c r="D42">
        <f t="shared" si="3"/>
        <v>0</v>
      </c>
      <c r="E42">
        <f t="shared" si="4"/>
        <v>0</v>
      </c>
      <c r="F42" s="64">
        <f t="shared" si="5"/>
        <v>0</v>
      </c>
      <c r="G42" s="63">
        <f t="shared" si="6"/>
        <v>45</v>
      </c>
      <c r="H42">
        <f t="shared" si="7"/>
        <v>17.174445317885308</v>
      </c>
      <c r="I42">
        <f t="shared" si="8"/>
        <v>1.3911432799991094E-2</v>
      </c>
      <c r="J42" s="64">
        <f t="shared" si="9"/>
        <v>0.38952011839975065</v>
      </c>
      <c r="K42" s="63">
        <f t="shared" si="10"/>
        <v>20</v>
      </c>
      <c r="L42">
        <f t="shared" si="11"/>
        <v>7.6330868079490255</v>
      </c>
      <c r="M42">
        <f t="shared" si="12"/>
        <v>1.1776443017273824E-2</v>
      </c>
      <c r="N42" s="64">
        <f t="shared" si="13"/>
        <v>0.32974040448366709</v>
      </c>
      <c r="O42" s="63">
        <f t="shared" si="14"/>
        <v>0</v>
      </c>
      <c r="P42">
        <f t="shared" si="15"/>
        <v>0</v>
      </c>
      <c r="Q42" t="e">
        <f t="shared" si="16"/>
        <v>#DIV/0!</v>
      </c>
      <c r="R42" s="64" t="e">
        <f t="shared" si="17"/>
        <v>#DIV/0!</v>
      </c>
    </row>
    <row r="43" spans="1:18" x14ac:dyDescent="0.2">
      <c r="A43" s="62">
        <v>3.5000000000000003E-2</v>
      </c>
      <c r="B43" s="62">
        <v>29</v>
      </c>
      <c r="C43" s="63">
        <f t="shared" si="2"/>
        <v>0</v>
      </c>
      <c r="D43">
        <f t="shared" si="3"/>
        <v>0</v>
      </c>
      <c r="E43">
        <f t="shared" si="4"/>
        <v>0</v>
      </c>
      <c r="F43" s="64">
        <f t="shared" si="5"/>
        <v>0</v>
      </c>
      <c r="G43" s="63">
        <f t="shared" si="6"/>
        <v>45</v>
      </c>
      <c r="H43">
        <f t="shared" si="7"/>
        <v>16.593666973802232</v>
      </c>
      <c r="I43">
        <f t="shared" si="8"/>
        <v>1.3440997874387533E-2</v>
      </c>
      <c r="J43" s="64">
        <f t="shared" si="9"/>
        <v>0.38978893835723843</v>
      </c>
      <c r="K43" s="63">
        <f t="shared" si="10"/>
        <v>20</v>
      </c>
      <c r="L43">
        <f t="shared" si="11"/>
        <v>7.3749630994676592</v>
      </c>
      <c r="M43">
        <f t="shared" si="12"/>
        <v>1.1378205813791136E-2</v>
      </c>
      <c r="N43" s="64">
        <f t="shared" si="13"/>
        <v>0.32996796859994293</v>
      </c>
      <c r="O43" s="63">
        <f t="shared" si="14"/>
        <v>0</v>
      </c>
      <c r="P43">
        <f t="shared" si="15"/>
        <v>0</v>
      </c>
      <c r="Q43" t="e">
        <f t="shared" si="16"/>
        <v>#DIV/0!</v>
      </c>
      <c r="R43" s="64" t="e">
        <f t="shared" si="17"/>
        <v>#DIV/0!</v>
      </c>
    </row>
    <row r="44" spans="1:18" x14ac:dyDescent="0.2">
      <c r="A44" s="62">
        <v>3.5000000000000003E-2</v>
      </c>
      <c r="B44" s="62">
        <v>30</v>
      </c>
      <c r="C44" s="63">
        <f t="shared" si="2"/>
        <v>0</v>
      </c>
      <c r="D44">
        <f t="shared" si="3"/>
        <v>0</v>
      </c>
      <c r="E44">
        <f t="shared" si="4"/>
        <v>0</v>
      </c>
      <c r="F44" s="64">
        <f t="shared" si="5"/>
        <v>0</v>
      </c>
      <c r="G44" s="63">
        <f t="shared" si="6"/>
        <v>45</v>
      </c>
      <c r="H44">
        <f t="shared" si="7"/>
        <v>16.032528477103607</v>
      </c>
      <c r="I44">
        <f t="shared" si="8"/>
        <v>1.2986471376219839E-2</v>
      </c>
      <c r="J44" s="64">
        <f t="shared" si="9"/>
        <v>0.3895941412865952</v>
      </c>
      <c r="K44" s="63">
        <f t="shared" si="10"/>
        <v>20</v>
      </c>
      <c r="L44">
        <f t="shared" si="11"/>
        <v>7.1255682120460468</v>
      </c>
      <c r="M44">
        <f t="shared" si="12"/>
        <v>1.0993435568880324E-2</v>
      </c>
      <c r="N44" s="64">
        <f t="shared" si="13"/>
        <v>0.32980306706640972</v>
      </c>
      <c r="O44" s="63">
        <f t="shared" si="14"/>
        <v>0</v>
      </c>
      <c r="P44">
        <f t="shared" si="15"/>
        <v>0</v>
      </c>
      <c r="Q44" t="e">
        <f t="shared" si="16"/>
        <v>#DIV/0!</v>
      </c>
      <c r="R44" s="64" t="e">
        <f t="shared" si="17"/>
        <v>#DIV/0!</v>
      </c>
    </row>
    <row r="45" spans="1:18" x14ac:dyDescent="0.2">
      <c r="A45" s="62">
        <v>3.5000000000000003E-2</v>
      </c>
      <c r="B45" s="62">
        <v>31</v>
      </c>
      <c r="C45" s="63">
        <f t="shared" si="2"/>
        <v>0</v>
      </c>
      <c r="D45">
        <f t="shared" si="3"/>
        <v>0</v>
      </c>
      <c r="E45">
        <f t="shared" si="4"/>
        <v>0</v>
      </c>
      <c r="F45" s="64">
        <f t="shared" si="5"/>
        <v>0</v>
      </c>
      <c r="G45" s="63">
        <f t="shared" si="6"/>
        <v>45</v>
      </c>
      <c r="H45">
        <f t="shared" si="7"/>
        <v>15.490365678360973</v>
      </c>
      <c r="I45">
        <f t="shared" si="8"/>
        <v>1.254731533934284E-2</v>
      </c>
      <c r="J45" s="64">
        <f t="shared" si="9"/>
        <v>0.38896677551962805</v>
      </c>
      <c r="K45" s="63">
        <f t="shared" si="10"/>
        <v>20</v>
      </c>
      <c r="L45">
        <f t="shared" si="11"/>
        <v>6.8846069681604325</v>
      </c>
      <c r="M45">
        <f t="shared" si="12"/>
        <v>1.0621676878145242E-2</v>
      </c>
      <c r="N45" s="64">
        <f t="shared" si="13"/>
        <v>0.32927198322250251</v>
      </c>
      <c r="O45" s="63">
        <f t="shared" si="14"/>
        <v>0</v>
      </c>
      <c r="P45">
        <f t="shared" si="15"/>
        <v>0</v>
      </c>
      <c r="Q45" t="e">
        <f t="shared" si="16"/>
        <v>#DIV/0!</v>
      </c>
      <c r="R45" s="64" t="e">
        <f t="shared" si="17"/>
        <v>#DIV/0!</v>
      </c>
    </row>
    <row r="46" spans="1:18" x14ac:dyDescent="0.2">
      <c r="A46" s="62">
        <v>3.5000000000000003E-2</v>
      </c>
      <c r="B46" s="62">
        <v>32</v>
      </c>
      <c r="C46" s="63">
        <f t="shared" si="2"/>
        <v>0</v>
      </c>
      <c r="D46">
        <f t="shared" si="3"/>
        <v>0</v>
      </c>
      <c r="E46">
        <f t="shared" si="4"/>
        <v>0</v>
      </c>
      <c r="F46" s="64">
        <f t="shared" si="5"/>
        <v>0</v>
      </c>
      <c r="G46" s="63">
        <f t="shared" si="6"/>
        <v>45</v>
      </c>
      <c r="H46">
        <f t="shared" si="7"/>
        <v>14.966536887305292</v>
      </c>
      <c r="I46">
        <f t="shared" si="8"/>
        <v>1.212300998970323E-2</v>
      </c>
      <c r="J46" s="64">
        <f t="shared" si="9"/>
        <v>0.38793631967050335</v>
      </c>
      <c r="K46" s="63">
        <f t="shared" si="10"/>
        <v>20</v>
      </c>
      <c r="L46">
        <f t="shared" si="11"/>
        <v>6.6517941721356859</v>
      </c>
      <c r="M46">
        <f t="shared" si="12"/>
        <v>1.0262489737338402E-2</v>
      </c>
      <c r="N46" s="64">
        <f t="shared" si="13"/>
        <v>0.32839967159482886</v>
      </c>
      <c r="O46" s="63">
        <f t="shared" si="14"/>
        <v>0</v>
      </c>
      <c r="P46">
        <f t="shared" si="15"/>
        <v>0</v>
      </c>
      <c r="Q46" t="e">
        <f t="shared" si="16"/>
        <v>#DIV/0!</v>
      </c>
      <c r="R46" s="64" t="e">
        <f t="shared" si="17"/>
        <v>#DIV/0!</v>
      </c>
    </row>
    <row r="47" spans="1:18" x14ac:dyDescent="0.2">
      <c r="A47" s="62">
        <v>3.5000000000000003E-2</v>
      </c>
      <c r="B47" s="62">
        <v>33</v>
      </c>
      <c r="C47" s="63">
        <f t="shared" si="2"/>
        <v>0</v>
      </c>
      <c r="D47">
        <f t="shared" si="3"/>
        <v>0</v>
      </c>
      <c r="E47">
        <f t="shared" si="4"/>
        <v>0</v>
      </c>
      <c r="F47" s="64">
        <f t="shared" si="5"/>
        <v>0</v>
      </c>
      <c r="G47" s="63">
        <f t="shared" si="6"/>
        <v>45</v>
      </c>
      <c r="H47">
        <f t="shared" si="7"/>
        <v>14.460422113338447</v>
      </c>
      <c r="I47">
        <f t="shared" si="8"/>
        <v>1.1713053130148048E-2</v>
      </c>
      <c r="J47" s="64">
        <f t="shared" si="9"/>
        <v>0.38653075329488557</v>
      </c>
      <c r="K47" s="63">
        <f t="shared" si="10"/>
        <v>20</v>
      </c>
      <c r="L47">
        <f t="shared" si="11"/>
        <v>6.4268542725948654</v>
      </c>
      <c r="M47">
        <f t="shared" si="12"/>
        <v>9.9154490215829956E-3</v>
      </c>
      <c r="N47" s="64">
        <f t="shared" si="13"/>
        <v>0.32720981771223884</v>
      </c>
      <c r="O47" s="63">
        <f t="shared" si="14"/>
        <v>0</v>
      </c>
      <c r="P47">
        <f t="shared" si="15"/>
        <v>0</v>
      </c>
      <c r="Q47" t="e">
        <f t="shared" si="16"/>
        <v>#DIV/0!</v>
      </c>
      <c r="R47" s="64" t="e">
        <f t="shared" si="17"/>
        <v>#DIV/0!</v>
      </c>
    </row>
    <row r="48" spans="1:18" x14ac:dyDescent="0.2">
      <c r="A48" s="62">
        <v>3.5000000000000003E-2</v>
      </c>
      <c r="B48" s="62">
        <v>34</v>
      </c>
      <c r="C48" s="63">
        <f t="shared" si="2"/>
        <v>0</v>
      </c>
      <c r="D48">
        <f t="shared" si="3"/>
        <v>0</v>
      </c>
      <c r="E48">
        <f t="shared" si="4"/>
        <v>0</v>
      </c>
      <c r="F48" s="64">
        <f t="shared" si="5"/>
        <v>0</v>
      </c>
      <c r="G48" s="63">
        <f t="shared" si="6"/>
        <v>45</v>
      </c>
      <c r="H48">
        <f t="shared" si="7"/>
        <v>13.97142233172797</v>
      </c>
      <c r="I48">
        <f t="shared" si="8"/>
        <v>1.1316959546036762E-2</v>
      </c>
      <c r="J48" s="64">
        <f t="shared" si="9"/>
        <v>0.38477662456524991</v>
      </c>
      <c r="K48" s="63">
        <f t="shared" si="10"/>
        <v>20</v>
      </c>
      <c r="L48">
        <f t="shared" si="11"/>
        <v>6.209521036323542</v>
      </c>
      <c r="M48">
        <f t="shared" si="12"/>
        <v>9.5801439822057952E-3</v>
      </c>
      <c r="N48" s="64">
        <f t="shared" si="13"/>
        <v>0.32572489539499705</v>
      </c>
      <c r="O48" s="63">
        <f t="shared" si="14"/>
        <v>0</v>
      </c>
      <c r="P48">
        <f t="shared" si="15"/>
        <v>0</v>
      </c>
      <c r="Q48" t="e">
        <f t="shared" si="16"/>
        <v>#DIV/0!</v>
      </c>
      <c r="R48" s="64" t="e">
        <f t="shared" si="17"/>
        <v>#DIV/0!</v>
      </c>
    </row>
    <row r="49" spans="1:18" x14ac:dyDescent="0.2">
      <c r="A49" s="62">
        <v>3.5000000000000003E-2</v>
      </c>
      <c r="B49" s="62">
        <v>35</v>
      </c>
      <c r="C49" s="63">
        <f t="shared" si="2"/>
        <v>0</v>
      </c>
      <c r="D49">
        <f t="shared" si="3"/>
        <v>0</v>
      </c>
      <c r="E49">
        <f t="shared" si="4"/>
        <v>0</v>
      </c>
      <c r="F49" s="64">
        <f t="shared" si="5"/>
        <v>0</v>
      </c>
      <c r="G49" s="63">
        <f t="shared" si="6"/>
        <v>45</v>
      </c>
      <c r="H49">
        <f t="shared" si="7"/>
        <v>13.498958774616398</v>
      </c>
      <c r="I49">
        <f t="shared" si="8"/>
        <v>1.0934260430953396E-2</v>
      </c>
      <c r="J49" s="64">
        <f t="shared" si="9"/>
        <v>0.38269911508336885</v>
      </c>
      <c r="K49" s="63">
        <f t="shared" si="10"/>
        <v>20</v>
      </c>
      <c r="L49">
        <f t="shared" si="11"/>
        <v>5.9995372331628429</v>
      </c>
      <c r="M49">
        <f t="shared" si="12"/>
        <v>9.2561777605853091E-3</v>
      </c>
      <c r="N49" s="64">
        <f t="shared" si="13"/>
        <v>0.32396622162048583</v>
      </c>
      <c r="O49" s="63">
        <f t="shared" si="14"/>
        <v>0</v>
      </c>
      <c r="P49">
        <f t="shared" si="15"/>
        <v>0</v>
      </c>
      <c r="Q49" t="e">
        <f t="shared" si="16"/>
        <v>#DIV/0!</v>
      </c>
      <c r="R49" s="64" t="e">
        <f t="shared" si="17"/>
        <v>#DIV/0!</v>
      </c>
    </row>
    <row r="50" spans="1:18" x14ac:dyDescent="0.2">
      <c r="A50" s="62">
        <v>3.5000000000000003E-2</v>
      </c>
      <c r="B50" s="62">
        <v>36</v>
      </c>
      <c r="C50" s="63">
        <f t="shared" si="2"/>
        <v>0</v>
      </c>
      <c r="D50">
        <f t="shared" si="3"/>
        <v>0</v>
      </c>
      <c r="E50">
        <f t="shared" si="4"/>
        <v>0</v>
      </c>
      <c r="F50" s="64">
        <f t="shared" si="5"/>
        <v>0</v>
      </c>
      <c r="G50" s="63">
        <f t="shared" si="6"/>
        <v>45</v>
      </c>
      <c r="H50">
        <f t="shared" si="7"/>
        <v>13.042472246006181</v>
      </c>
      <c r="I50">
        <f t="shared" si="8"/>
        <v>1.056450283183903E-2</v>
      </c>
      <c r="J50" s="64">
        <f t="shared" si="9"/>
        <v>0.38032210194620508</v>
      </c>
      <c r="K50" s="63">
        <f t="shared" si="10"/>
        <v>20</v>
      </c>
      <c r="L50">
        <f t="shared" si="11"/>
        <v>5.7966543315583028</v>
      </c>
      <c r="M50">
        <f t="shared" si="12"/>
        <v>8.9431669184399133E-3</v>
      </c>
      <c r="N50" s="64">
        <f t="shared" si="13"/>
        <v>0.32195400906383687</v>
      </c>
      <c r="O50" s="63">
        <f t="shared" si="14"/>
        <v>0</v>
      </c>
      <c r="P50">
        <f t="shared" si="15"/>
        <v>0</v>
      </c>
      <c r="Q50" t="e">
        <f t="shared" si="16"/>
        <v>#DIV/0!</v>
      </c>
      <c r="R50" s="64" t="e">
        <f t="shared" si="17"/>
        <v>#DIV/0!</v>
      </c>
    </row>
    <row r="51" spans="1:18" x14ac:dyDescent="0.2">
      <c r="A51" s="62">
        <v>3.5000000000000003E-2</v>
      </c>
      <c r="B51" s="62">
        <v>37</v>
      </c>
      <c r="C51" s="63">
        <f t="shared" si="2"/>
        <v>0</v>
      </c>
      <c r="D51">
        <f t="shared" si="3"/>
        <v>0</v>
      </c>
      <c r="E51">
        <f t="shared" si="4"/>
        <v>0</v>
      </c>
      <c r="F51" s="64">
        <f t="shared" si="5"/>
        <v>0</v>
      </c>
      <c r="G51" s="63">
        <f t="shared" si="6"/>
        <v>45</v>
      </c>
      <c r="H51">
        <f t="shared" si="7"/>
        <v>12.601422459909355</v>
      </c>
      <c r="I51">
        <f t="shared" si="8"/>
        <v>1.0207249112887952E-2</v>
      </c>
      <c r="J51" s="64">
        <f t="shared" si="9"/>
        <v>0.37766821717685423</v>
      </c>
      <c r="K51" s="63">
        <f t="shared" si="10"/>
        <v>20</v>
      </c>
      <c r="L51">
        <f t="shared" si="11"/>
        <v>5.6006322044041577</v>
      </c>
      <c r="M51">
        <f t="shared" si="12"/>
        <v>8.6407409839999172E-3</v>
      </c>
      <c r="N51" s="64">
        <f t="shared" si="13"/>
        <v>0.31970741640799694</v>
      </c>
      <c r="O51" s="63">
        <f t="shared" si="14"/>
        <v>0</v>
      </c>
      <c r="P51">
        <f t="shared" si="15"/>
        <v>0</v>
      </c>
      <c r="Q51" t="e">
        <f t="shared" si="16"/>
        <v>#DIV/0!</v>
      </c>
      <c r="R51" s="64" t="e">
        <f t="shared" si="17"/>
        <v>#DIV/0!</v>
      </c>
    </row>
    <row r="52" spans="1:18" x14ac:dyDescent="0.2">
      <c r="A52" s="62">
        <v>3.5000000000000003E-2</v>
      </c>
      <c r="B52" s="62">
        <v>38</v>
      </c>
      <c r="C52" s="63">
        <f t="shared" si="2"/>
        <v>0</v>
      </c>
      <c r="D52">
        <f t="shared" si="3"/>
        <v>0</v>
      </c>
      <c r="E52">
        <f t="shared" si="4"/>
        <v>0</v>
      </c>
      <c r="F52" s="64">
        <f t="shared" si="5"/>
        <v>0</v>
      </c>
      <c r="G52" s="63">
        <f t="shared" si="6"/>
        <v>45</v>
      </c>
      <c r="H52">
        <f t="shared" si="7"/>
        <v>12.175287400878604</v>
      </c>
      <c r="I52">
        <f t="shared" si="8"/>
        <v>9.8620764375729007E-3</v>
      </c>
      <c r="J52" s="64">
        <f t="shared" si="9"/>
        <v>0.37475890462777023</v>
      </c>
      <c r="K52" s="63">
        <f t="shared" si="10"/>
        <v>20</v>
      </c>
      <c r="L52">
        <f t="shared" si="11"/>
        <v>5.4112388448349344</v>
      </c>
      <c r="M52">
        <f t="shared" si="12"/>
        <v>8.3485420135264877E-3</v>
      </c>
      <c r="N52" s="64">
        <f t="shared" si="13"/>
        <v>0.31724459651400655</v>
      </c>
      <c r="O52" s="63">
        <f t="shared" si="14"/>
        <v>0</v>
      </c>
      <c r="P52">
        <f t="shared" si="15"/>
        <v>0</v>
      </c>
      <c r="Q52" t="e">
        <f t="shared" si="16"/>
        <v>#DIV/0!</v>
      </c>
      <c r="R52" s="64" t="e">
        <f t="shared" si="17"/>
        <v>#DIV/0!</v>
      </c>
    </row>
    <row r="53" spans="1:18" x14ac:dyDescent="0.2">
      <c r="A53" s="62">
        <v>3.5000000000000003E-2</v>
      </c>
      <c r="B53" s="62">
        <v>39</v>
      </c>
      <c r="C53" s="63">
        <f t="shared" si="2"/>
        <v>0</v>
      </c>
      <c r="D53">
        <f t="shared" si="3"/>
        <v>0</v>
      </c>
      <c r="E53">
        <f t="shared" si="4"/>
        <v>0</v>
      </c>
      <c r="F53" s="64">
        <f t="shared" si="5"/>
        <v>0</v>
      </c>
      <c r="G53" s="63">
        <f t="shared" si="6"/>
        <v>45</v>
      </c>
      <c r="H53">
        <f t="shared" si="7"/>
        <v>11.763562706162904</v>
      </c>
      <c r="I53">
        <f t="shared" si="8"/>
        <v>9.5285762681863798E-3</v>
      </c>
      <c r="J53" s="64">
        <f t="shared" si="9"/>
        <v>0.37161447445926882</v>
      </c>
      <c r="K53" s="63">
        <f t="shared" si="10"/>
        <v>20</v>
      </c>
      <c r="L53">
        <f t="shared" si="11"/>
        <v>5.2282500916279568</v>
      </c>
      <c r="M53">
        <f t="shared" si="12"/>
        <v>8.0662241676584447E-3</v>
      </c>
      <c r="N53" s="64">
        <f t="shared" si="13"/>
        <v>0.31458274253867935</v>
      </c>
      <c r="O53" s="63">
        <f t="shared" si="14"/>
        <v>0</v>
      </c>
      <c r="P53">
        <f t="shared" si="15"/>
        <v>0</v>
      </c>
      <c r="Q53" t="e">
        <f t="shared" si="16"/>
        <v>#DIV/0!</v>
      </c>
      <c r="R53" s="64" t="e">
        <f t="shared" si="17"/>
        <v>#DIV/0!</v>
      </c>
    </row>
    <row r="54" spans="1:18" x14ac:dyDescent="0.2">
      <c r="A54" s="62">
        <v>3.5000000000000003E-2</v>
      </c>
      <c r="B54" s="62">
        <v>40</v>
      </c>
      <c r="C54" s="63">
        <f t="shared" si="2"/>
        <v>0</v>
      </c>
      <c r="D54">
        <f t="shared" si="3"/>
        <v>0</v>
      </c>
      <c r="E54">
        <f t="shared" si="4"/>
        <v>0</v>
      </c>
      <c r="F54" s="64">
        <f t="shared" si="5"/>
        <v>0</v>
      </c>
      <c r="G54" s="63">
        <f t="shared" si="6"/>
        <v>45</v>
      </c>
      <c r="H54">
        <f t="shared" si="7"/>
        <v>11.365761068756431</v>
      </c>
      <c r="I54">
        <f t="shared" si="8"/>
        <v>9.2063538823056821E-3</v>
      </c>
      <c r="J54" s="64">
        <f t="shared" si="9"/>
        <v>0.36825415529222727</v>
      </c>
      <c r="K54" s="63">
        <f t="shared" si="10"/>
        <v>20</v>
      </c>
      <c r="L54">
        <f t="shared" si="11"/>
        <v>5.0514493638917468</v>
      </c>
      <c r="M54">
        <f t="shared" si="12"/>
        <v>7.7934533020854553E-3</v>
      </c>
      <c r="N54" s="64">
        <f t="shared" si="13"/>
        <v>0.31173813208341822</v>
      </c>
      <c r="O54" s="63">
        <f t="shared" si="14"/>
        <v>0</v>
      </c>
      <c r="P54">
        <f t="shared" si="15"/>
        <v>0</v>
      </c>
      <c r="Q54" t="e">
        <f t="shared" si="16"/>
        <v>#DIV/0!</v>
      </c>
      <c r="R54" s="64" t="e">
        <f t="shared" si="17"/>
        <v>#DIV/0!</v>
      </c>
    </row>
    <row r="55" spans="1:18" x14ac:dyDescent="0.2">
      <c r="A55" s="62">
        <v>3.5000000000000003E-2</v>
      </c>
      <c r="B55" s="62">
        <v>41</v>
      </c>
      <c r="C55" s="63">
        <f t="shared" si="2"/>
        <v>0</v>
      </c>
      <c r="D55">
        <f t="shared" si="3"/>
        <v>0</v>
      </c>
      <c r="E55">
        <f t="shared" si="4"/>
        <v>0</v>
      </c>
      <c r="F55" s="64">
        <f t="shared" si="5"/>
        <v>0</v>
      </c>
      <c r="G55" s="63">
        <f t="shared" si="6"/>
        <v>45</v>
      </c>
      <c r="H55">
        <f t="shared" si="7"/>
        <v>10.981411660634235</v>
      </c>
      <c r="I55">
        <f t="shared" si="8"/>
        <v>8.8950279056093564E-3</v>
      </c>
      <c r="J55" s="64">
        <f t="shared" si="9"/>
        <v>0.36469614412998363</v>
      </c>
      <c r="K55" s="63">
        <f t="shared" si="10"/>
        <v>20</v>
      </c>
      <c r="L55">
        <f t="shared" si="11"/>
        <v>4.8806274047263267</v>
      </c>
      <c r="M55">
        <f t="shared" si="12"/>
        <v>7.5299065720632434E-3</v>
      </c>
      <c r="N55" s="64">
        <f t="shared" si="13"/>
        <v>0.30872616945459297</v>
      </c>
      <c r="O55" s="63">
        <f t="shared" si="14"/>
        <v>0</v>
      </c>
      <c r="P55">
        <f t="shared" si="15"/>
        <v>0</v>
      </c>
      <c r="Q55" t="e">
        <f t="shared" si="16"/>
        <v>#DIV/0!</v>
      </c>
      <c r="R55" s="64" t="e">
        <f t="shared" si="17"/>
        <v>#DIV/0!</v>
      </c>
    </row>
    <row r="56" spans="1:18" x14ac:dyDescent="0.2">
      <c r="A56" s="62">
        <v>3.5000000000000003E-2</v>
      </c>
      <c r="B56" s="62">
        <v>42</v>
      </c>
      <c r="C56" s="63">
        <f t="shared" si="2"/>
        <v>0</v>
      </c>
      <c r="D56">
        <f t="shared" si="3"/>
        <v>0</v>
      </c>
      <c r="E56">
        <f t="shared" si="4"/>
        <v>0</v>
      </c>
      <c r="F56" s="64">
        <f t="shared" si="5"/>
        <v>0</v>
      </c>
      <c r="G56" s="63">
        <f t="shared" si="6"/>
        <v>45</v>
      </c>
      <c r="H56">
        <f t="shared" si="7"/>
        <v>10.610059575492015</v>
      </c>
      <c r="I56">
        <f t="shared" si="8"/>
        <v>8.5942298604921308E-3</v>
      </c>
      <c r="J56" s="64">
        <f t="shared" si="9"/>
        <v>0.36095765414066949</v>
      </c>
      <c r="K56" s="63">
        <f t="shared" si="10"/>
        <v>20</v>
      </c>
      <c r="L56">
        <f t="shared" si="11"/>
        <v>4.715582033552006</v>
      </c>
      <c r="M56">
        <f t="shared" si="12"/>
        <v>7.2752720503026502E-3</v>
      </c>
      <c r="N56" s="64">
        <f t="shared" si="13"/>
        <v>0.30556142611271131</v>
      </c>
      <c r="O56" s="63">
        <f t="shared" si="14"/>
        <v>0</v>
      </c>
      <c r="P56">
        <f t="shared" si="15"/>
        <v>0</v>
      </c>
      <c r="Q56" t="e">
        <f t="shared" si="16"/>
        <v>#DIV/0!</v>
      </c>
      <c r="R56" s="64" t="e">
        <f t="shared" si="17"/>
        <v>#DIV/0!</v>
      </c>
    </row>
    <row r="57" spans="1:18" x14ac:dyDescent="0.2">
      <c r="A57" s="62">
        <v>3.5000000000000003E-2</v>
      </c>
      <c r="B57" s="62">
        <v>43</v>
      </c>
      <c r="C57" s="63">
        <f t="shared" si="2"/>
        <v>0</v>
      </c>
      <c r="D57">
        <f t="shared" si="3"/>
        <v>0</v>
      </c>
      <c r="E57">
        <f t="shared" si="4"/>
        <v>0</v>
      </c>
      <c r="F57" s="64">
        <f t="shared" si="5"/>
        <v>0</v>
      </c>
      <c r="G57" s="63">
        <f t="shared" si="6"/>
        <v>45</v>
      </c>
      <c r="H57">
        <f t="shared" si="7"/>
        <v>10.251265290330448</v>
      </c>
      <c r="I57">
        <f t="shared" si="8"/>
        <v>8.3036037299440875E-3</v>
      </c>
      <c r="J57" s="64">
        <f t="shared" si="9"/>
        <v>0.35705496038759577</v>
      </c>
      <c r="K57" s="63">
        <f t="shared" si="10"/>
        <v>20</v>
      </c>
      <c r="L57">
        <f t="shared" si="11"/>
        <v>4.5561179068135322</v>
      </c>
      <c r="M57">
        <f t="shared" si="12"/>
        <v>7.0292483577803384E-3</v>
      </c>
      <c r="N57" s="64">
        <f t="shared" si="13"/>
        <v>0.30225767938455456</v>
      </c>
      <c r="O57" s="63">
        <f t="shared" si="14"/>
        <v>0</v>
      </c>
      <c r="P57">
        <f t="shared" si="15"/>
        <v>0</v>
      </c>
      <c r="Q57" t="e">
        <f t="shared" si="16"/>
        <v>#DIV/0!</v>
      </c>
      <c r="R57" s="64" t="e">
        <f t="shared" si="17"/>
        <v>#DIV/0!</v>
      </c>
    </row>
    <row r="58" spans="1:18" x14ac:dyDescent="0.2">
      <c r="A58" s="62">
        <v>3.5000000000000003E-2</v>
      </c>
      <c r="B58" s="62">
        <v>44</v>
      </c>
      <c r="C58" s="63">
        <f t="shared" si="2"/>
        <v>0</v>
      </c>
      <c r="D58">
        <f t="shared" si="3"/>
        <v>0</v>
      </c>
      <c r="E58">
        <f t="shared" si="4"/>
        <v>0</v>
      </c>
      <c r="F58" s="64">
        <f t="shared" si="5"/>
        <v>0</v>
      </c>
      <c r="G58" s="63">
        <f t="shared" si="6"/>
        <v>45</v>
      </c>
      <c r="H58">
        <f t="shared" si="7"/>
        <v>9.904604145246811</v>
      </c>
      <c r="I58">
        <f t="shared" si="8"/>
        <v>8.0228055361778634E-3</v>
      </c>
      <c r="J58" s="64">
        <f t="shared" si="9"/>
        <v>0.353003443591826</v>
      </c>
      <c r="K58" s="63">
        <f t="shared" si="10"/>
        <v>20</v>
      </c>
      <c r="L58">
        <f t="shared" si="11"/>
        <v>4.4020462867763603</v>
      </c>
      <c r="M58">
        <f t="shared" si="12"/>
        <v>6.7915443070341438E-3</v>
      </c>
      <c r="N58" s="64">
        <f t="shared" si="13"/>
        <v>0.29882794950950231</v>
      </c>
      <c r="O58" s="63">
        <f t="shared" si="14"/>
        <v>0</v>
      </c>
      <c r="P58">
        <f t="shared" si="15"/>
        <v>0</v>
      </c>
      <c r="Q58" t="e">
        <f t="shared" si="16"/>
        <v>#DIV/0!</v>
      </c>
      <c r="R58" s="64" t="e">
        <f t="shared" si="17"/>
        <v>#DIV/0!</v>
      </c>
    </row>
    <row r="59" spans="1:18" x14ac:dyDescent="0.2">
      <c r="A59" s="62">
        <v>3.5000000000000003E-2</v>
      </c>
      <c r="B59" s="62">
        <v>45</v>
      </c>
      <c r="C59" s="63">
        <f t="shared" si="2"/>
        <v>0</v>
      </c>
      <c r="D59">
        <f t="shared" si="3"/>
        <v>0</v>
      </c>
      <c r="E59">
        <f t="shared" si="4"/>
        <v>0</v>
      </c>
      <c r="F59" s="64">
        <f t="shared" si="5"/>
        <v>0</v>
      </c>
      <c r="G59" s="63">
        <f t="shared" si="6"/>
        <v>45</v>
      </c>
      <c r="H59">
        <f t="shared" si="7"/>
        <v>9.5696658408181747</v>
      </c>
      <c r="I59">
        <f t="shared" si="8"/>
        <v>7.7515029335051824E-3</v>
      </c>
      <c r="J59" s="64">
        <f t="shared" si="9"/>
        <v>0.34881763200773319</v>
      </c>
      <c r="K59" s="63">
        <f t="shared" si="10"/>
        <v>20</v>
      </c>
      <c r="L59">
        <f t="shared" si="11"/>
        <v>4.2531848181414116</v>
      </c>
      <c r="M59">
        <f t="shared" si="12"/>
        <v>6.5618785575209133E-3</v>
      </c>
      <c r="N59" s="64">
        <f t="shared" si="13"/>
        <v>0.2952845350884411</v>
      </c>
      <c r="O59" s="63">
        <f t="shared" si="14"/>
        <v>0</v>
      </c>
      <c r="P59">
        <f t="shared" si="15"/>
        <v>0</v>
      </c>
      <c r="Q59" t="e">
        <f t="shared" si="16"/>
        <v>#DIV/0!</v>
      </c>
      <c r="R59" s="64" t="e">
        <f t="shared" si="17"/>
        <v>#DIV/0!</v>
      </c>
    </row>
    <row r="60" spans="1:18" x14ac:dyDescent="0.2">
      <c r="A60" s="62">
        <v>3.5000000000000003E-2</v>
      </c>
      <c r="B60" s="62">
        <v>46</v>
      </c>
      <c r="C60" s="63">
        <f t="shared" si="2"/>
        <v>0</v>
      </c>
      <c r="D60">
        <f t="shared" si="3"/>
        <v>0</v>
      </c>
      <c r="E60">
        <f t="shared" si="4"/>
        <v>0</v>
      </c>
      <c r="F60" s="64">
        <f t="shared" si="5"/>
        <v>0</v>
      </c>
      <c r="G60" s="63">
        <f t="shared" si="6"/>
        <v>45</v>
      </c>
      <c r="H60">
        <f t="shared" si="7"/>
        <v>9.2460539524813274</v>
      </c>
      <c r="I60">
        <f t="shared" si="8"/>
        <v>7.4893748149808519E-3</v>
      </c>
      <c r="J60" s="64">
        <f t="shared" si="9"/>
        <v>0.34451124148911921</v>
      </c>
      <c r="K60" s="63">
        <f t="shared" si="10"/>
        <v>20</v>
      </c>
      <c r="L60">
        <f t="shared" si="11"/>
        <v>4.1093573122139233</v>
      </c>
      <c r="M60">
        <f t="shared" si="12"/>
        <v>6.3399792826289002E-3</v>
      </c>
      <c r="N60" s="64">
        <f t="shared" si="13"/>
        <v>0.29163904700092941</v>
      </c>
      <c r="O60" s="63">
        <f t="shared" si="14"/>
        <v>0</v>
      </c>
      <c r="P60">
        <f t="shared" si="15"/>
        <v>0</v>
      </c>
      <c r="Q60" t="e">
        <f t="shared" si="16"/>
        <v>#DIV/0!</v>
      </c>
      <c r="R60" s="64" t="e">
        <f t="shared" si="17"/>
        <v>#DIV/0!</v>
      </c>
    </row>
    <row r="61" spans="1:18" x14ac:dyDescent="0.2">
      <c r="A61" s="62">
        <v>3.5000000000000003E-2</v>
      </c>
      <c r="B61" s="62">
        <v>47</v>
      </c>
      <c r="C61" s="63">
        <f t="shared" si="2"/>
        <v>0</v>
      </c>
      <c r="D61">
        <f t="shared" si="3"/>
        <v>0</v>
      </c>
      <c r="E61">
        <f t="shared" si="4"/>
        <v>0</v>
      </c>
      <c r="F61" s="64">
        <f t="shared" si="5"/>
        <v>0</v>
      </c>
      <c r="G61" s="63">
        <f t="shared" si="6"/>
        <v>45</v>
      </c>
      <c r="H61">
        <f t="shared" si="7"/>
        <v>8.933385461334618</v>
      </c>
      <c r="I61">
        <f t="shared" si="8"/>
        <v>7.2361109323486501E-3</v>
      </c>
      <c r="J61" s="64">
        <f t="shared" si="9"/>
        <v>0.34009721382038655</v>
      </c>
      <c r="K61" s="63">
        <f t="shared" si="10"/>
        <v>20</v>
      </c>
      <c r="L61">
        <f t="shared" si="11"/>
        <v>3.9703935383709417</v>
      </c>
      <c r="M61">
        <f t="shared" si="12"/>
        <v>6.1255838479506303E-3</v>
      </c>
      <c r="N61" s="64">
        <f t="shared" si="13"/>
        <v>0.28790244085367961</v>
      </c>
      <c r="O61" s="63">
        <f t="shared" si="14"/>
        <v>0</v>
      </c>
      <c r="P61">
        <f t="shared" si="15"/>
        <v>0</v>
      </c>
      <c r="Q61" t="e">
        <f t="shared" si="16"/>
        <v>#DIV/0!</v>
      </c>
      <c r="R61" s="64" t="e">
        <f t="shared" si="17"/>
        <v>#DIV/0!</v>
      </c>
    </row>
    <row r="62" spans="1:18" x14ac:dyDescent="0.2">
      <c r="A62" s="62">
        <v>3.5000000000000003E-2</v>
      </c>
      <c r="B62" s="62">
        <v>48</v>
      </c>
      <c r="C62" s="63">
        <f t="shared" si="2"/>
        <v>0</v>
      </c>
      <c r="D62">
        <f t="shared" si="3"/>
        <v>0</v>
      </c>
      <c r="E62">
        <f t="shared" si="4"/>
        <v>0</v>
      </c>
      <c r="F62" s="64">
        <f t="shared" si="5"/>
        <v>0</v>
      </c>
      <c r="G62" s="63">
        <f t="shared" si="6"/>
        <v>45</v>
      </c>
      <c r="H62">
        <f t="shared" si="7"/>
        <v>8.6312903008063966</v>
      </c>
      <c r="I62">
        <f t="shared" si="8"/>
        <v>6.9914115288392783E-3</v>
      </c>
      <c r="J62" s="64">
        <f t="shared" si="9"/>
        <v>0.33558775338428537</v>
      </c>
      <c r="K62" s="63">
        <f t="shared" si="10"/>
        <v>20</v>
      </c>
      <c r="L62">
        <f t="shared" si="11"/>
        <v>3.8361290225806206</v>
      </c>
      <c r="M62">
        <f t="shared" si="12"/>
        <v>5.9184385004353926E-3</v>
      </c>
      <c r="N62" s="64">
        <f t="shared" si="13"/>
        <v>0.28408504802089884</v>
      </c>
      <c r="O62" s="63">
        <f t="shared" si="14"/>
        <v>0</v>
      </c>
      <c r="P62">
        <f t="shared" si="15"/>
        <v>0</v>
      </c>
      <c r="Q62" t="e">
        <f t="shared" si="16"/>
        <v>#DIV/0!</v>
      </c>
      <c r="R62" s="64" t="e">
        <f t="shared" si="17"/>
        <v>#DIV/0!</v>
      </c>
    </row>
    <row r="63" spans="1:18" x14ac:dyDescent="0.2">
      <c r="A63" s="62">
        <v>3.5000000000000003E-2</v>
      </c>
      <c r="B63" s="62">
        <v>49</v>
      </c>
      <c r="C63" s="63">
        <f t="shared" si="2"/>
        <v>0</v>
      </c>
      <c r="D63">
        <f t="shared" si="3"/>
        <v>0</v>
      </c>
      <c r="E63">
        <f t="shared" si="4"/>
        <v>0</v>
      </c>
      <c r="F63" s="64">
        <f t="shared" si="5"/>
        <v>0</v>
      </c>
      <c r="G63" s="63">
        <f t="shared" si="6"/>
        <v>45</v>
      </c>
      <c r="H63">
        <f t="shared" si="7"/>
        <v>8.3394109186535239</v>
      </c>
      <c r="I63">
        <f t="shared" si="8"/>
        <v>6.7549869843857762E-3</v>
      </c>
      <c r="J63" s="64">
        <f t="shared" si="9"/>
        <v>0.33099436223490303</v>
      </c>
      <c r="K63" s="63">
        <f t="shared" si="10"/>
        <v>20</v>
      </c>
      <c r="L63">
        <f t="shared" si="11"/>
        <v>3.7064048527348996</v>
      </c>
      <c r="M63">
        <f t="shared" si="12"/>
        <v>5.7182980680535204E-3</v>
      </c>
      <c r="N63" s="64">
        <f t="shared" si="13"/>
        <v>0.28019660533462248</v>
      </c>
      <c r="O63" s="63">
        <f t="shared" si="14"/>
        <v>0</v>
      </c>
      <c r="P63">
        <f t="shared" si="15"/>
        <v>0</v>
      </c>
      <c r="Q63" t="e">
        <f t="shared" si="16"/>
        <v>#DIV/0!</v>
      </c>
      <c r="R63" s="64" t="e">
        <f t="shared" si="17"/>
        <v>#DIV/0!</v>
      </c>
    </row>
    <row r="64" spans="1:18" x14ac:dyDescent="0.2">
      <c r="A64" s="62">
        <v>3.5000000000000003E-2</v>
      </c>
      <c r="B64" s="62">
        <v>50</v>
      </c>
      <c r="C64" s="63">
        <f t="shared" si="2"/>
        <v>0</v>
      </c>
      <c r="D64">
        <f t="shared" si="3"/>
        <v>0</v>
      </c>
      <c r="E64">
        <f t="shared" si="4"/>
        <v>0</v>
      </c>
      <c r="F64" s="64">
        <f t="shared" si="5"/>
        <v>0</v>
      </c>
      <c r="G64" s="63">
        <f t="shared" si="6"/>
        <v>1045</v>
      </c>
      <c r="H64">
        <f t="shared" si="7"/>
        <v>187.11077638202755</v>
      </c>
      <c r="I64">
        <f t="shared" si="8"/>
        <v>0.15156116798031427</v>
      </c>
      <c r="J64" s="64">
        <f t="shared" si="9"/>
        <v>7.5780583990157133</v>
      </c>
      <c r="K64" s="63">
        <f t="shared" si="10"/>
        <v>1020</v>
      </c>
      <c r="L64">
        <f t="shared" si="11"/>
        <v>182.63444201882115</v>
      </c>
      <c r="M64">
        <f t="shared" si="12"/>
        <v>0.28177120915046333</v>
      </c>
      <c r="N64" s="64">
        <f t="shared" si="13"/>
        <v>14.088560457523167</v>
      </c>
      <c r="O64" s="63">
        <f t="shared" si="14"/>
        <v>0</v>
      </c>
      <c r="P64">
        <f t="shared" si="15"/>
        <v>0</v>
      </c>
      <c r="Q64" t="e">
        <f t="shared" si="16"/>
        <v>#DIV/0!</v>
      </c>
      <c r="R64" s="64" t="e">
        <f t="shared" si="17"/>
        <v>#DIV/0!</v>
      </c>
    </row>
    <row r="65" spans="1:18" x14ac:dyDescent="0.2">
      <c r="A65" s="62">
        <v>3.5000000000000003E-2</v>
      </c>
      <c r="B65" s="62">
        <v>51</v>
      </c>
      <c r="C65" s="63">
        <f t="shared" si="2"/>
        <v>0</v>
      </c>
      <c r="D65">
        <f t="shared" si="3"/>
        <v>0</v>
      </c>
      <c r="E65">
        <f t="shared" si="4"/>
        <v>0</v>
      </c>
      <c r="F65" s="64">
        <f t="shared" si="5"/>
        <v>0</v>
      </c>
      <c r="G65" s="63">
        <f t="shared" si="6"/>
        <v>0</v>
      </c>
      <c r="H65">
        <f t="shared" si="7"/>
        <v>0</v>
      </c>
      <c r="I65">
        <f t="shared" si="8"/>
        <v>0</v>
      </c>
      <c r="J65" s="64">
        <f t="shared" si="9"/>
        <v>0</v>
      </c>
      <c r="K65" s="63">
        <f t="shared" si="10"/>
        <v>0</v>
      </c>
      <c r="L65">
        <f t="shared" si="11"/>
        <v>0</v>
      </c>
      <c r="M65">
        <f t="shared" si="12"/>
        <v>0</v>
      </c>
      <c r="N65" s="64">
        <f t="shared" si="13"/>
        <v>0</v>
      </c>
      <c r="O65" s="63">
        <f t="shared" si="14"/>
        <v>0</v>
      </c>
      <c r="P65">
        <f t="shared" si="15"/>
        <v>0</v>
      </c>
      <c r="Q65" t="e">
        <f t="shared" si="16"/>
        <v>#DIV/0!</v>
      </c>
      <c r="R65" s="64" t="e">
        <f t="shared" si="17"/>
        <v>#DIV/0!</v>
      </c>
    </row>
    <row r="66" spans="1:18" x14ac:dyDescent="0.2">
      <c r="A66" s="62">
        <v>3.5000000000000003E-2</v>
      </c>
      <c r="B66" s="62">
        <v>52</v>
      </c>
      <c r="C66" s="63">
        <f t="shared" si="2"/>
        <v>0</v>
      </c>
      <c r="D66">
        <f t="shared" si="3"/>
        <v>0</v>
      </c>
      <c r="E66">
        <f t="shared" si="4"/>
        <v>0</v>
      </c>
      <c r="F66" s="64">
        <f t="shared" si="5"/>
        <v>0</v>
      </c>
      <c r="G66" s="63">
        <f t="shared" si="6"/>
        <v>0</v>
      </c>
      <c r="H66">
        <f t="shared" si="7"/>
        <v>0</v>
      </c>
      <c r="I66">
        <f t="shared" si="8"/>
        <v>0</v>
      </c>
      <c r="J66" s="64">
        <f t="shared" si="9"/>
        <v>0</v>
      </c>
      <c r="K66" s="63">
        <f t="shared" si="10"/>
        <v>0</v>
      </c>
      <c r="L66">
        <f t="shared" si="11"/>
        <v>0</v>
      </c>
      <c r="M66">
        <f t="shared" si="12"/>
        <v>0</v>
      </c>
      <c r="N66" s="64">
        <f t="shared" si="13"/>
        <v>0</v>
      </c>
      <c r="O66" s="63">
        <f t="shared" si="14"/>
        <v>0</v>
      </c>
      <c r="P66">
        <f t="shared" si="15"/>
        <v>0</v>
      </c>
      <c r="Q66" t="e">
        <f t="shared" si="16"/>
        <v>#DIV/0!</v>
      </c>
      <c r="R66" s="64" t="e">
        <f t="shared" si="17"/>
        <v>#DIV/0!</v>
      </c>
    </row>
    <row r="67" spans="1:18" x14ac:dyDescent="0.2">
      <c r="A67" s="62">
        <v>3.5000000000000003E-2</v>
      </c>
      <c r="B67" s="62">
        <v>53</v>
      </c>
      <c r="C67" s="63">
        <f t="shared" si="2"/>
        <v>0</v>
      </c>
      <c r="D67">
        <f t="shared" si="3"/>
        <v>0</v>
      </c>
      <c r="E67">
        <f t="shared" si="4"/>
        <v>0</v>
      </c>
      <c r="F67" s="64">
        <f t="shared" si="5"/>
        <v>0</v>
      </c>
      <c r="G67" s="63">
        <f t="shared" si="6"/>
        <v>0</v>
      </c>
      <c r="H67">
        <f t="shared" si="7"/>
        <v>0</v>
      </c>
      <c r="I67">
        <f t="shared" si="8"/>
        <v>0</v>
      </c>
      <c r="J67" s="64">
        <f t="shared" si="9"/>
        <v>0</v>
      </c>
      <c r="K67" s="63">
        <f t="shared" si="10"/>
        <v>0</v>
      </c>
      <c r="L67">
        <f t="shared" si="11"/>
        <v>0</v>
      </c>
      <c r="M67">
        <f t="shared" si="12"/>
        <v>0</v>
      </c>
      <c r="N67" s="64">
        <f t="shared" si="13"/>
        <v>0</v>
      </c>
      <c r="O67" s="63">
        <f t="shared" si="14"/>
        <v>0</v>
      </c>
      <c r="P67">
        <f t="shared" si="15"/>
        <v>0</v>
      </c>
      <c r="Q67" t="e">
        <f t="shared" si="16"/>
        <v>#DIV/0!</v>
      </c>
      <c r="R67" s="64" t="e">
        <f t="shared" si="17"/>
        <v>#DIV/0!</v>
      </c>
    </row>
    <row r="68" spans="1:18" x14ac:dyDescent="0.2">
      <c r="A68" s="62">
        <v>3.5000000000000003E-2</v>
      </c>
      <c r="B68" s="62">
        <v>54</v>
      </c>
      <c r="C68" s="63">
        <f t="shared" si="2"/>
        <v>0</v>
      </c>
      <c r="D68">
        <f t="shared" si="3"/>
        <v>0</v>
      </c>
      <c r="E68">
        <f t="shared" si="4"/>
        <v>0</v>
      </c>
      <c r="F68" s="64">
        <f t="shared" si="5"/>
        <v>0</v>
      </c>
      <c r="G68" s="63">
        <f t="shared" si="6"/>
        <v>0</v>
      </c>
      <c r="H68">
        <f t="shared" si="7"/>
        <v>0</v>
      </c>
      <c r="I68">
        <f t="shared" si="8"/>
        <v>0</v>
      </c>
      <c r="J68" s="64">
        <f t="shared" si="9"/>
        <v>0</v>
      </c>
      <c r="K68" s="63">
        <f t="shared" si="10"/>
        <v>0</v>
      </c>
      <c r="L68">
        <f t="shared" si="11"/>
        <v>0</v>
      </c>
      <c r="M68">
        <f t="shared" si="12"/>
        <v>0</v>
      </c>
      <c r="N68" s="64">
        <f t="shared" si="13"/>
        <v>0</v>
      </c>
      <c r="O68" s="63">
        <f t="shared" si="14"/>
        <v>0</v>
      </c>
      <c r="P68">
        <f t="shared" si="15"/>
        <v>0</v>
      </c>
      <c r="Q68" t="e">
        <f t="shared" si="16"/>
        <v>#DIV/0!</v>
      </c>
      <c r="R68" s="64" t="e">
        <f t="shared" si="17"/>
        <v>#DIV/0!</v>
      </c>
    </row>
    <row r="69" spans="1:18" x14ac:dyDescent="0.2">
      <c r="A69" s="62">
        <v>3.5000000000000003E-2</v>
      </c>
      <c r="B69" s="62">
        <v>55</v>
      </c>
      <c r="C69" s="63">
        <f t="shared" si="2"/>
        <v>0</v>
      </c>
      <c r="D69">
        <f t="shared" si="3"/>
        <v>0</v>
      </c>
      <c r="E69">
        <f t="shared" si="4"/>
        <v>0</v>
      </c>
      <c r="F69" s="64">
        <f t="shared" si="5"/>
        <v>0</v>
      </c>
      <c r="G69" s="63">
        <f t="shared" si="6"/>
        <v>0</v>
      </c>
      <c r="H69">
        <f t="shared" si="7"/>
        <v>0</v>
      </c>
      <c r="I69">
        <f t="shared" si="8"/>
        <v>0</v>
      </c>
      <c r="J69" s="64">
        <f t="shared" si="9"/>
        <v>0</v>
      </c>
      <c r="K69" s="63">
        <f t="shared" si="10"/>
        <v>0</v>
      </c>
      <c r="L69">
        <f t="shared" si="11"/>
        <v>0</v>
      </c>
      <c r="M69">
        <f t="shared" si="12"/>
        <v>0</v>
      </c>
      <c r="N69" s="64">
        <f t="shared" si="13"/>
        <v>0</v>
      </c>
      <c r="O69" s="63">
        <f t="shared" si="14"/>
        <v>0</v>
      </c>
      <c r="P69">
        <f t="shared" si="15"/>
        <v>0</v>
      </c>
      <c r="Q69" t="e">
        <f t="shared" si="16"/>
        <v>#DIV/0!</v>
      </c>
      <c r="R69" s="64" t="e">
        <f t="shared" si="17"/>
        <v>#DIV/0!</v>
      </c>
    </row>
    <row r="70" spans="1:18" x14ac:dyDescent="0.2">
      <c r="A70" s="62">
        <v>3.5000000000000003E-2</v>
      </c>
      <c r="B70" s="62">
        <v>56</v>
      </c>
      <c r="C70" s="63">
        <f t="shared" si="2"/>
        <v>0</v>
      </c>
      <c r="D70">
        <f t="shared" si="3"/>
        <v>0</v>
      </c>
      <c r="E70">
        <f t="shared" si="4"/>
        <v>0</v>
      </c>
      <c r="F70" s="64">
        <f t="shared" si="5"/>
        <v>0</v>
      </c>
      <c r="G70" s="63">
        <f t="shared" si="6"/>
        <v>0</v>
      </c>
      <c r="H70">
        <f t="shared" si="7"/>
        <v>0</v>
      </c>
      <c r="I70">
        <f t="shared" si="8"/>
        <v>0</v>
      </c>
      <c r="J70" s="64">
        <f t="shared" si="9"/>
        <v>0</v>
      </c>
      <c r="K70" s="63">
        <f t="shared" si="10"/>
        <v>0</v>
      </c>
      <c r="L70">
        <f t="shared" si="11"/>
        <v>0</v>
      </c>
      <c r="M70">
        <f t="shared" si="12"/>
        <v>0</v>
      </c>
      <c r="N70" s="64">
        <f t="shared" si="13"/>
        <v>0</v>
      </c>
      <c r="O70" s="63">
        <f t="shared" si="14"/>
        <v>0</v>
      </c>
      <c r="P70">
        <f t="shared" si="15"/>
        <v>0</v>
      </c>
      <c r="Q70" t="e">
        <f t="shared" si="16"/>
        <v>#DIV/0!</v>
      </c>
      <c r="R70" s="64" t="e">
        <f t="shared" si="17"/>
        <v>#DIV/0!</v>
      </c>
    </row>
    <row r="71" spans="1:18" x14ac:dyDescent="0.2">
      <c r="A71" s="62">
        <v>3.5000000000000003E-2</v>
      </c>
      <c r="B71" s="62">
        <v>57</v>
      </c>
      <c r="C71" s="63">
        <f t="shared" si="2"/>
        <v>0</v>
      </c>
      <c r="D71">
        <f t="shared" si="3"/>
        <v>0</v>
      </c>
      <c r="E71">
        <f t="shared" si="4"/>
        <v>0</v>
      </c>
      <c r="F71" s="64">
        <f t="shared" si="5"/>
        <v>0</v>
      </c>
      <c r="G71" s="63">
        <f t="shared" si="6"/>
        <v>0</v>
      </c>
      <c r="H71">
        <f t="shared" si="7"/>
        <v>0</v>
      </c>
      <c r="I71">
        <f t="shared" si="8"/>
        <v>0</v>
      </c>
      <c r="J71" s="64">
        <f t="shared" si="9"/>
        <v>0</v>
      </c>
      <c r="K71" s="63">
        <f t="shared" si="10"/>
        <v>0</v>
      </c>
      <c r="L71">
        <f t="shared" si="11"/>
        <v>0</v>
      </c>
      <c r="M71">
        <f t="shared" si="12"/>
        <v>0</v>
      </c>
      <c r="N71" s="64">
        <f t="shared" si="13"/>
        <v>0</v>
      </c>
      <c r="O71" s="63">
        <f t="shared" si="14"/>
        <v>0</v>
      </c>
      <c r="P71">
        <f t="shared" si="15"/>
        <v>0</v>
      </c>
      <c r="Q71" t="e">
        <f t="shared" si="16"/>
        <v>#DIV/0!</v>
      </c>
      <c r="R71" s="64" t="e">
        <f t="shared" si="17"/>
        <v>#DIV/0!</v>
      </c>
    </row>
    <row r="72" spans="1:18" x14ac:dyDescent="0.2">
      <c r="A72" s="62">
        <v>3.5000000000000003E-2</v>
      </c>
      <c r="B72" s="62">
        <v>58</v>
      </c>
      <c r="C72" s="63">
        <f t="shared" si="2"/>
        <v>0</v>
      </c>
      <c r="D72">
        <f t="shared" si="3"/>
        <v>0</v>
      </c>
      <c r="E72">
        <f t="shared" si="4"/>
        <v>0</v>
      </c>
      <c r="F72" s="64">
        <f t="shared" si="5"/>
        <v>0</v>
      </c>
      <c r="G72" s="63">
        <f t="shared" si="6"/>
        <v>0</v>
      </c>
      <c r="H72">
        <f t="shared" si="7"/>
        <v>0</v>
      </c>
      <c r="I72">
        <f t="shared" si="8"/>
        <v>0</v>
      </c>
      <c r="J72" s="64">
        <f t="shared" si="9"/>
        <v>0</v>
      </c>
      <c r="K72" s="63">
        <f t="shared" si="10"/>
        <v>0</v>
      </c>
      <c r="L72">
        <f t="shared" si="11"/>
        <v>0</v>
      </c>
      <c r="M72">
        <f t="shared" si="12"/>
        <v>0</v>
      </c>
      <c r="N72" s="64">
        <f t="shared" si="13"/>
        <v>0</v>
      </c>
      <c r="O72" s="63">
        <f t="shared" si="14"/>
        <v>0</v>
      </c>
      <c r="P72">
        <f t="shared" si="15"/>
        <v>0</v>
      </c>
      <c r="Q72" t="e">
        <f t="shared" si="16"/>
        <v>#DIV/0!</v>
      </c>
      <c r="R72" s="64" t="e">
        <f t="shared" si="17"/>
        <v>#DIV/0!</v>
      </c>
    </row>
    <row r="73" spans="1:18" x14ac:dyDescent="0.2">
      <c r="A73" s="62">
        <v>3.5000000000000003E-2</v>
      </c>
      <c r="B73" s="62">
        <v>59</v>
      </c>
      <c r="C73" s="63">
        <f t="shared" si="2"/>
        <v>0</v>
      </c>
      <c r="D73">
        <f t="shared" si="3"/>
        <v>0</v>
      </c>
      <c r="E73">
        <f t="shared" si="4"/>
        <v>0</v>
      </c>
      <c r="F73" s="64">
        <f t="shared" si="5"/>
        <v>0</v>
      </c>
      <c r="G73" s="63">
        <f t="shared" si="6"/>
        <v>0</v>
      </c>
      <c r="H73">
        <f t="shared" si="7"/>
        <v>0</v>
      </c>
      <c r="I73">
        <f t="shared" si="8"/>
        <v>0</v>
      </c>
      <c r="J73" s="64">
        <f t="shared" si="9"/>
        <v>0</v>
      </c>
      <c r="K73" s="63">
        <f t="shared" si="10"/>
        <v>0</v>
      </c>
      <c r="L73">
        <f t="shared" si="11"/>
        <v>0</v>
      </c>
      <c r="M73">
        <f t="shared" si="12"/>
        <v>0</v>
      </c>
      <c r="N73" s="64">
        <f t="shared" si="13"/>
        <v>0</v>
      </c>
      <c r="O73" s="63">
        <f t="shared" si="14"/>
        <v>0</v>
      </c>
      <c r="P73">
        <f t="shared" si="15"/>
        <v>0</v>
      </c>
      <c r="Q73" t="e">
        <f t="shared" si="16"/>
        <v>#DIV/0!</v>
      </c>
      <c r="R73" s="64" t="e">
        <f t="shared" si="17"/>
        <v>#DIV/0!</v>
      </c>
    </row>
    <row r="74" spans="1:18" ht="16" thickBot="1" x14ac:dyDescent="0.25">
      <c r="A74" s="62">
        <v>3.5000000000000003E-2</v>
      </c>
      <c r="B74" s="65">
        <v>60</v>
      </c>
      <c r="C74" s="66">
        <f t="shared" si="2"/>
        <v>0</v>
      </c>
      <c r="D74">
        <f t="shared" si="3"/>
        <v>0</v>
      </c>
      <c r="E74" s="67">
        <f t="shared" si="4"/>
        <v>0</v>
      </c>
      <c r="F74" s="68">
        <f t="shared" si="5"/>
        <v>0</v>
      </c>
      <c r="G74" s="66">
        <f t="shared" si="6"/>
        <v>0</v>
      </c>
      <c r="H74">
        <f t="shared" si="7"/>
        <v>0</v>
      </c>
      <c r="I74" s="67">
        <f t="shared" si="8"/>
        <v>0</v>
      </c>
      <c r="J74" s="68">
        <f t="shared" si="9"/>
        <v>0</v>
      </c>
      <c r="K74" s="63">
        <f t="shared" si="10"/>
        <v>0</v>
      </c>
      <c r="L74">
        <f t="shared" si="11"/>
        <v>0</v>
      </c>
      <c r="M74">
        <f t="shared" si="12"/>
        <v>0</v>
      </c>
      <c r="N74" s="64">
        <f t="shared" si="13"/>
        <v>0</v>
      </c>
      <c r="O74" s="63">
        <f t="shared" si="14"/>
        <v>0</v>
      </c>
      <c r="P74">
        <f t="shared" si="15"/>
        <v>0</v>
      </c>
      <c r="Q74" t="e">
        <f t="shared" si="16"/>
        <v>#DIV/0!</v>
      </c>
      <c r="R74" s="64" t="e">
        <f t="shared" si="17"/>
        <v>#DIV/0!</v>
      </c>
    </row>
    <row r="75" spans="1:18" ht="16" thickBot="1" x14ac:dyDescent="0.25"/>
    <row r="76" spans="1:18" s="57" customFormat="1" ht="16" x14ac:dyDescent="0.2">
      <c r="A76" s="53"/>
      <c r="B76" s="53"/>
      <c r="C76" s="54" t="s">
        <v>188</v>
      </c>
      <c r="D76" s="55"/>
      <c r="E76" s="55"/>
      <c r="F76" s="56"/>
      <c r="G76" s="54" t="s">
        <v>189</v>
      </c>
      <c r="H76" s="55"/>
      <c r="I76" s="55"/>
      <c r="J76" s="56"/>
      <c r="K76" s="54" t="s">
        <v>190</v>
      </c>
      <c r="L76" s="55"/>
      <c r="M76" s="55"/>
      <c r="N76" s="56"/>
      <c r="O76" s="54" t="s">
        <v>191</v>
      </c>
      <c r="P76" s="55"/>
      <c r="Q76" s="55"/>
      <c r="R76" s="56"/>
    </row>
    <row r="77" spans="1:18" ht="16" x14ac:dyDescent="0.2">
      <c r="A77" s="75" t="s">
        <v>36</v>
      </c>
      <c r="B77" s="58" t="s">
        <v>67</v>
      </c>
      <c r="C77" s="59" t="s">
        <v>194</v>
      </c>
      <c r="D77" s="60" t="s">
        <v>195</v>
      </c>
      <c r="E77" s="60" t="s">
        <v>71</v>
      </c>
      <c r="F77" s="61" t="s">
        <v>196</v>
      </c>
      <c r="G77" s="59" t="s">
        <v>194</v>
      </c>
      <c r="H77" s="60" t="s">
        <v>195</v>
      </c>
      <c r="I77" s="60" t="s">
        <v>71</v>
      </c>
      <c r="J77" s="61" t="s">
        <v>196</v>
      </c>
      <c r="K77" s="59" t="s">
        <v>194</v>
      </c>
      <c r="L77" s="60" t="s">
        <v>195</v>
      </c>
      <c r="M77" s="60" t="s">
        <v>71</v>
      </c>
      <c r="N77" s="61" t="s">
        <v>196</v>
      </c>
      <c r="O77" s="59" t="s">
        <v>194</v>
      </c>
      <c r="P77" s="60" t="s">
        <v>195</v>
      </c>
      <c r="Q77" s="60" t="s">
        <v>71</v>
      </c>
      <c r="R77" s="61" t="s">
        <v>196</v>
      </c>
    </row>
    <row r="78" spans="1:18" x14ac:dyDescent="0.2">
      <c r="A78" s="62">
        <v>3.5000000000000003E-2</v>
      </c>
      <c r="B78" s="62">
        <v>1</v>
      </c>
      <c r="C78" s="63">
        <f>IF(B78=2*$B$3, $B$6 + $B$4/2*$B$6, IF(B78&gt;2*$B$3,0, $B$4/2*$B$6))</f>
        <v>45</v>
      </c>
      <c r="D78">
        <f>C78/(1+A78)^B78</f>
        <v>43.478260869565219</v>
      </c>
      <c r="E78">
        <f>D78/SUM($D$15:$D$74)</f>
        <v>4.0681811252549452E-2</v>
      </c>
      <c r="F78" s="64">
        <f>E78*B78</f>
        <v>4.0681811252549452E-2</v>
      </c>
      <c r="G78" s="63">
        <f>IF(B78=2*$C$3, $C$6 + $C$4/2*$C$6, IF(B78&gt;2*$C$3,0, $C$4/2*$C$6))</f>
        <v>45</v>
      </c>
      <c r="H78">
        <f>G78/(1+A78)^$B78</f>
        <v>43.478260869565219</v>
      </c>
      <c r="I78">
        <f>H78/SUM($H$15:$H$74)</f>
        <v>3.5217725705386185E-2</v>
      </c>
      <c r="J78" s="64">
        <f>I78*B78</f>
        <v>3.5217725705386185E-2</v>
      </c>
      <c r="K78" s="63">
        <f>IF(B78=2*$D$3, $D$6 + $D$4/2*$D$6, IF(B78&gt;2*$D$3,0, $D$4/2*$D$6))</f>
        <v>20</v>
      </c>
      <c r="L78">
        <f>K78/(1+A78)^B78</f>
        <v>19.323671497584542</v>
      </c>
      <c r="M78">
        <f>L78/SUM($L$15:$L$74)</f>
        <v>2.9812855794963518E-2</v>
      </c>
      <c r="N78" s="64">
        <f>M78*B78</f>
        <v>2.9812855794963518E-2</v>
      </c>
      <c r="O78" s="63">
        <f>IF(B78=2*$E$3, $E$6 + $E$4/2*$E$6, IF(B78&gt;2*$E$3,0, $E$4/2*$E$6))</f>
        <v>0</v>
      </c>
      <c r="P78">
        <f>O78/(1+A78)^B78</f>
        <v>0</v>
      </c>
      <c r="Q78" t="e">
        <f>P78/SUM($P$15:$P$74)</f>
        <v>#DIV/0!</v>
      </c>
      <c r="R78" s="64" t="e">
        <f>Q78*B78</f>
        <v>#DIV/0!</v>
      </c>
    </row>
    <row r="79" spans="1:18" x14ac:dyDescent="0.2">
      <c r="A79" s="62">
        <v>3.5000000000000003E-2</v>
      </c>
      <c r="B79" s="62">
        <v>2</v>
      </c>
      <c r="C79" s="63">
        <f t="shared" ref="C79:C137" si="18">IF(B79=2*$B$3, $B$6 + $B$4/2*$B$6, IF(B79&gt;2*$B$3,0, $B$4/2*$B$6))</f>
        <v>45</v>
      </c>
      <c r="D79">
        <f t="shared" ref="D79:D137" si="19">C79/(1+A79)^B79</f>
        <v>42.007981516488137</v>
      </c>
      <c r="E79">
        <f t="shared" ref="E79:E137" si="20">D79/SUM($D$15:$D$74)</f>
        <v>3.9306097828550199E-2</v>
      </c>
      <c r="F79" s="64">
        <f t="shared" ref="F79:F137" si="21">E79*B79</f>
        <v>7.8612195657100398E-2</v>
      </c>
      <c r="G79" s="63">
        <f t="shared" ref="G79:G137" si="22">IF(B79=2*$C$3, $C$6 + $C$4/2*$C$6, IF(B79&gt;2*$C$3,0, $C$4/2*$C$6))</f>
        <v>45</v>
      </c>
      <c r="H79">
        <f t="shared" ref="H79:H137" si="23">G79/(1+A79)^$B79</f>
        <v>42.007981516488137</v>
      </c>
      <c r="I79">
        <f t="shared" ref="I79:I137" si="24">H79/SUM($H$15:$H$74)</f>
        <v>3.4026788121146075E-2</v>
      </c>
      <c r="J79" s="64">
        <f t="shared" ref="J79:J137" si="25">I79*B79</f>
        <v>6.8053576242292149E-2</v>
      </c>
      <c r="K79" s="63">
        <f t="shared" ref="K79:K137" si="26">IF(B79=2*$D$3, $D$6 + $D$4/2*$D$6, IF(B79&gt;2*$D$3,0, $D$4/2*$D$6))</f>
        <v>20</v>
      </c>
      <c r="L79">
        <f t="shared" ref="L79:L137" si="27">K79/(1+A79)^B79</f>
        <v>18.67021400732806</v>
      </c>
      <c r="M79">
        <f t="shared" ref="M79:M137" si="28">L79/SUM($L$15:$L$74)</f>
        <v>2.8804691589336733E-2</v>
      </c>
      <c r="N79" s="64">
        <f t="shared" ref="N79:N137" si="29">M79*B79</f>
        <v>5.7609383178673465E-2</v>
      </c>
      <c r="O79" s="63">
        <f t="shared" ref="O79:O137" si="30">IF(B79=2*$E$3, $E$6 + $E$4/2*$E$6, IF(B79&gt;2*$E$3,0, $E$4/2*$E$6))</f>
        <v>0</v>
      </c>
      <c r="P79">
        <f t="shared" ref="P79:P137" si="31">O79/(1+A79)^B79</f>
        <v>0</v>
      </c>
      <c r="Q79" t="e">
        <f t="shared" ref="Q79:Q137" si="32">P79/SUM($P$15:$P$74)</f>
        <v>#DIV/0!</v>
      </c>
      <c r="R79" s="64" t="e">
        <f t="shared" ref="R79:R137" si="33">Q79*B79</f>
        <v>#DIV/0!</v>
      </c>
    </row>
    <row r="80" spans="1:18" x14ac:dyDescent="0.2">
      <c r="A80" s="62">
        <v>3.5000000000000003E-2</v>
      </c>
      <c r="B80" s="62">
        <v>3</v>
      </c>
      <c r="C80" s="63">
        <f t="shared" si="18"/>
        <v>45</v>
      </c>
      <c r="D80">
        <f t="shared" si="19"/>
        <v>40.587421755061008</v>
      </c>
      <c r="E80">
        <f t="shared" si="20"/>
        <v>3.7976906114541263E-2</v>
      </c>
      <c r="F80" s="64">
        <f t="shared" si="21"/>
        <v>0.11393071834362378</v>
      </c>
      <c r="G80" s="63">
        <f t="shared" si="22"/>
        <v>45</v>
      </c>
      <c r="H80">
        <f t="shared" si="23"/>
        <v>40.587421755061008</v>
      </c>
      <c r="I80">
        <f t="shared" si="24"/>
        <v>3.2876123788546943E-2</v>
      </c>
      <c r="J80" s="64">
        <f t="shared" si="25"/>
        <v>9.862837136564083E-2</v>
      </c>
      <c r="K80" s="63">
        <f t="shared" si="26"/>
        <v>20</v>
      </c>
      <c r="L80">
        <f t="shared" si="27"/>
        <v>18.038854113360447</v>
      </c>
      <c r="M80">
        <f t="shared" si="28"/>
        <v>2.7830619893078973E-2</v>
      </c>
      <c r="N80" s="64">
        <f t="shared" si="29"/>
        <v>8.3491859679236918E-2</v>
      </c>
      <c r="O80" s="63">
        <f t="shared" si="30"/>
        <v>0</v>
      </c>
      <c r="P80">
        <f t="shared" si="31"/>
        <v>0</v>
      </c>
      <c r="Q80" t="e">
        <f t="shared" si="32"/>
        <v>#DIV/0!</v>
      </c>
      <c r="R80" s="64" t="e">
        <f t="shared" si="33"/>
        <v>#DIV/0!</v>
      </c>
    </row>
    <row r="81" spans="1:18" x14ac:dyDescent="0.2">
      <c r="A81" s="62">
        <v>3.5000000000000003E-2</v>
      </c>
      <c r="B81" s="62">
        <v>4</v>
      </c>
      <c r="C81" s="63">
        <f t="shared" si="18"/>
        <v>45</v>
      </c>
      <c r="D81">
        <f t="shared" si="19"/>
        <v>39.214900246435761</v>
      </c>
      <c r="E81">
        <f t="shared" si="20"/>
        <v>3.6692662912600253E-2</v>
      </c>
      <c r="F81" s="64">
        <f t="shared" si="21"/>
        <v>0.14677065165040101</v>
      </c>
      <c r="G81" s="63">
        <f t="shared" si="22"/>
        <v>45</v>
      </c>
      <c r="H81">
        <f t="shared" si="23"/>
        <v>39.214900246435761</v>
      </c>
      <c r="I81">
        <f t="shared" si="24"/>
        <v>3.1764370810190283E-2</v>
      </c>
      <c r="J81" s="64">
        <f t="shared" si="25"/>
        <v>0.12705748324076113</v>
      </c>
      <c r="K81" s="63">
        <f t="shared" si="26"/>
        <v>20</v>
      </c>
      <c r="L81">
        <f t="shared" si="27"/>
        <v>17.428844553971448</v>
      </c>
      <c r="M81">
        <f t="shared" si="28"/>
        <v>2.6889487819399975E-2</v>
      </c>
      <c r="N81" s="64">
        <f t="shared" si="29"/>
        <v>0.1075579512775999</v>
      </c>
      <c r="O81" s="63">
        <f t="shared" si="30"/>
        <v>0</v>
      </c>
      <c r="P81">
        <f t="shared" si="31"/>
        <v>0</v>
      </c>
      <c r="Q81" t="e">
        <f t="shared" si="32"/>
        <v>#DIV/0!</v>
      </c>
      <c r="R81" s="64" t="e">
        <f t="shared" si="33"/>
        <v>#DIV/0!</v>
      </c>
    </row>
    <row r="82" spans="1:18" x14ac:dyDescent="0.2">
      <c r="A82" s="62">
        <v>3.5000000000000003E-2</v>
      </c>
      <c r="B82" s="62">
        <v>5</v>
      </c>
      <c r="C82" s="63">
        <f t="shared" si="18"/>
        <v>45</v>
      </c>
      <c r="D82">
        <f t="shared" si="19"/>
        <v>37.888792508633585</v>
      </c>
      <c r="E82">
        <f t="shared" si="20"/>
        <v>3.5451848224734545E-2</v>
      </c>
      <c r="F82" s="64">
        <f t="shared" si="21"/>
        <v>0.17725924112367272</v>
      </c>
      <c r="G82" s="63">
        <f t="shared" si="22"/>
        <v>45</v>
      </c>
      <c r="H82">
        <f t="shared" si="23"/>
        <v>37.888792508633585</v>
      </c>
      <c r="I82">
        <f t="shared" si="24"/>
        <v>3.0690213343179017E-2</v>
      </c>
      <c r="J82" s="64">
        <f t="shared" si="25"/>
        <v>0.15345106671589509</v>
      </c>
      <c r="K82" s="63">
        <f t="shared" si="26"/>
        <v>20</v>
      </c>
      <c r="L82">
        <f t="shared" si="27"/>
        <v>16.839463337170482</v>
      </c>
      <c r="M82">
        <f t="shared" si="28"/>
        <v>2.5980181468019302E-2</v>
      </c>
      <c r="N82" s="64">
        <f t="shared" si="29"/>
        <v>0.12990090734009652</v>
      </c>
      <c r="O82" s="63">
        <f t="shared" si="30"/>
        <v>0</v>
      </c>
      <c r="P82">
        <f t="shared" si="31"/>
        <v>0</v>
      </c>
      <c r="Q82" t="e">
        <f t="shared" si="32"/>
        <v>#DIV/0!</v>
      </c>
      <c r="R82" s="64" t="e">
        <f t="shared" si="33"/>
        <v>#DIV/0!</v>
      </c>
    </row>
    <row r="83" spans="1:18" x14ac:dyDescent="0.2">
      <c r="A83" s="62">
        <v>3.5000000000000003E-2</v>
      </c>
      <c r="B83" s="62">
        <v>6</v>
      </c>
      <c r="C83" s="63">
        <f t="shared" si="18"/>
        <v>45</v>
      </c>
      <c r="D83">
        <f t="shared" si="19"/>
        <v>36.607528993848874</v>
      </c>
      <c r="E83">
        <f t="shared" si="20"/>
        <v>3.42529934538498E-2</v>
      </c>
      <c r="F83" s="64">
        <f t="shared" si="21"/>
        <v>0.2055179607230988</v>
      </c>
      <c r="G83" s="63">
        <f t="shared" si="22"/>
        <v>45</v>
      </c>
      <c r="H83">
        <f t="shared" si="23"/>
        <v>36.607528993848874</v>
      </c>
      <c r="I83">
        <f t="shared" si="24"/>
        <v>2.9652380041718857E-2</v>
      </c>
      <c r="J83" s="64">
        <f t="shared" si="25"/>
        <v>0.17791428025031314</v>
      </c>
      <c r="K83" s="63">
        <f t="shared" si="26"/>
        <v>20</v>
      </c>
      <c r="L83">
        <f t="shared" si="27"/>
        <v>16.270012886155055</v>
      </c>
      <c r="M83">
        <f t="shared" si="28"/>
        <v>2.5101624606781933E-2</v>
      </c>
      <c r="N83" s="64">
        <f t="shared" si="29"/>
        <v>0.1506097476406916</v>
      </c>
      <c r="O83" s="63">
        <f t="shared" si="30"/>
        <v>0</v>
      </c>
      <c r="P83">
        <f t="shared" si="31"/>
        <v>0</v>
      </c>
      <c r="Q83" t="e">
        <f t="shared" si="32"/>
        <v>#DIV/0!</v>
      </c>
      <c r="R83" s="64" t="e">
        <f t="shared" si="33"/>
        <v>#DIV/0!</v>
      </c>
    </row>
    <row r="84" spans="1:18" x14ac:dyDescent="0.2">
      <c r="A84" s="62">
        <v>3.5000000000000003E-2</v>
      </c>
      <c r="B84" s="62">
        <v>7</v>
      </c>
      <c r="C84" s="63">
        <f t="shared" si="18"/>
        <v>45</v>
      </c>
      <c r="D84">
        <f t="shared" si="19"/>
        <v>35.369593230771862</v>
      </c>
      <c r="E84">
        <f t="shared" si="20"/>
        <v>3.309467966555537E-2</v>
      </c>
      <c r="F84" s="64">
        <f t="shared" si="21"/>
        <v>0.23166275765888758</v>
      </c>
      <c r="G84" s="63">
        <f t="shared" si="22"/>
        <v>45</v>
      </c>
      <c r="H84">
        <f t="shared" si="23"/>
        <v>35.369593230771862</v>
      </c>
      <c r="I84">
        <f t="shared" si="24"/>
        <v>2.8649642552385373E-2</v>
      </c>
      <c r="J84" s="64">
        <f t="shared" si="25"/>
        <v>0.20054749786669762</v>
      </c>
      <c r="K84" s="63">
        <f t="shared" si="26"/>
        <v>20</v>
      </c>
      <c r="L84">
        <f t="shared" si="27"/>
        <v>15.719819213676383</v>
      </c>
      <c r="M84">
        <f t="shared" si="28"/>
        <v>2.4252777397856942E-2</v>
      </c>
      <c r="N84" s="64">
        <f t="shared" si="29"/>
        <v>0.16976944178499859</v>
      </c>
      <c r="O84" s="63">
        <f t="shared" si="30"/>
        <v>0</v>
      </c>
      <c r="P84">
        <f t="shared" si="31"/>
        <v>0</v>
      </c>
      <c r="Q84" t="e">
        <f t="shared" si="32"/>
        <v>#DIV/0!</v>
      </c>
      <c r="R84" s="64" t="e">
        <f t="shared" si="33"/>
        <v>#DIV/0!</v>
      </c>
    </row>
    <row r="85" spans="1:18" x14ac:dyDescent="0.2">
      <c r="A85" s="62">
        <v>3.5000000000000003E-2</v>
      </c>
      <c r="B85" s="62">
        <v>8</v>
      </c>
      <c r="C85" s="63">
        <f t="shared" si="18"/>
        <v>1045</v>
      </c>
      <c r="D85">
        <f t="shared" si="19"/>
        <v>793.58507624598178</v>
      </c>
      <c r="E85">
        <f t="shared" si="20"/>
        <v>0.74254300054761924</v>
      </c>
      <c r="F85" s="64">
        <f t="shared" si="21"/>
        <v>5.9403440043809539</v>
      </c>
      <c r="G85" s="63">
        <f t="shared" si="22"/>
        <v>45</v>
      </c>
      <c r="H85">
        <f t="shared" si="23"/>
        <v>34.173520029731272</v>
      </c>
      <c r="I85">
        <f t="shared" si="24"/>
        <v>2.7680814060275723E-2</v>
      </c>
      <c r="J85" s="64">
        <f t="shared" si="25"/>
        <v>0.22144651248220579</v>
      </c>
      <c r="K85" s="63">
        <f t="shared" si="26"/>
        <v>20</v>
      </c>
      <c r="L85">
        <f t="shared" si="27"/>
        <v>15.188231124325011</v>
      </c>
      <c r="M85">
        <f t="shared" si="28"/>
        <v>2.3432635167011544E-2</v>
      </c>
      <c r="N85" s="64">
        <f t="shared" si="29"/>
        <v>0.18746108133609235</v>
      </c>
      <c r="O85" s="63">
        <f t="shared" si="30"/>
        <v>0</v>
      </c>
      <c r="P85">
        <f t="shared" si="31"/>
        <v>0</v>
      </c>
      <c r="Q85" t="e">
        <f t="shared" si="32"/>
        <v>#DIV/0!</v>
      </c>
      <c r="R85" s="64" t="e">
        <f t="shared" si="33"/>
        <v>#DIV/0!</v>
      </c>
    </row>
    <row r="86" spans="1:18" x14ac:dyDescent="0.2">
      <c r="A86" s="62">
        <v>3.5000000000000003E-2</v>
      </c>
      <c r="B86" s="62">
        <v>9</v>
      </c>
      <c r="C86" s="63">
        <f t="shared" si="18"/>
        <v>0</v>
      </c>
      <c r="D86">
        <f t="shared" si="19"/>
        <v>0</v>
      </c>
      <c r="E86">
        <f t="shared" si="20"/>
        <v>0</v>
      </c>
      <c r="F86" s="64">
        <f t="shared" si="21"/>
        <v>0</v>
      </c>
      <c r="G86" s="63">
        <f t="shared" si="22"/>
        <v>45</v>
      </c>
      <c r="H86">
        <f t="shared" si="23"/>
        <v>33.017893748532636</v>
      </c>
      <c r="I86">
        <f t="shared" si="24"/>
        <v>2.6744747884324377E-2</v>
      </c>
      <c r="J86" s="64">
        <f t="shared" si="25"/>
        <v>0.24070273095891939</v>
      </c>
      <c r="K86" s="63">
        <f t="shared" si="26"/>
        <v>20</v>
      </c>
      <c r="L86">
        <f t="shared" si="27"/>
        <v>14.674619443792283</v>
      </c>
      <c r="M86">
        <f t="shared" si="28"/>
        <v>2.264022721450391E-2</v>
      </c>
      <c r="N86" s="64">
        <f t="shared" si="29"/>
        <v>0.20376204493053518</v>
      </c>
      <c r="O86" s="63">
        <f t="shared" si="30"/>
        <v>0</v>
      </c>
      <c r="P86">
        <f t="shared" si="31"/>
        <v>0</v>
      </c>
      <c r="Q86" t="e">
        <f t="shared" si="32"/>
        <v>#DIV/0!</v>
      </c>
      <c r="R86" s="64" t="e">
        <f t="shared" si="33"/>
        <v>#DIV/0!</v>
      </c>
    </row>
    <row r="87" spans="1:18" x14ac:dyDescent="0.2">
      <c r="A87" s="62">
        <v>3.5000000000000003E-2</v>
      </c>
      <c r="B87" s="62">
        <v>10</v>
      </c>
      <c r="C87" s="63">
        <f t="shared" si="18"/>
        <v>0</v>
      </c>
      <c r="D87">
        <f t="shared" si="19"/>
        <v>0</v>
      </c>
      <c r="E87">
        <f t="shared" si="20"/>
        <v>0</v>
      </c>
      <c r="F87" s="64">
        <f t="shared" si="21"/>
        <v>0</v>
      </c>
      <c r="G87" s="63">
        <f t="shared" si="22"/>
        <v>45</v>
      </c>
      <c r="H87">
        <f t="shared" si="23"/>
        <v>31.901346616939747</v>
      </c>
      <c r="I87">
        <f t="shared" si="24"/>
        <v>2.5840336120120173E-2</v>
      </c>
      <c r="J87" s="64">
        <f t="shared" si="25"/>
        <v>0.25840336120120172</v>
      </c>
      <c r="K87" s="63">
        <f t="shared" si="26"/>
        <v>20</v>
      </c>
      <c r="L87">
        <f t="shared" si="27"/>
        <v>14.178376274195443</v>
      </c>
      <c r="M87">
        <f t="shared" si="28"/>
        <v>2.1874615666187355E-2</v>
      </c>
      <c r="N87" s="64">
        <f t="shared" si="29"/>
        <v>0.21874615666187355</v>
      </c>
      <c r="O87" s="63">
        <f t="shared" si="30"/>
        <v>0</v>
      </c>
      <c r="P87">
        <f t="shared" si="31"/>
        <v>0</v>
      </c>
      <c r="Q87" t="e">
        <f t="shared" si="32"/>
        <v>#DIV/0!</v>
      </c>
      <c r="R87" s="64" t="e">
        <f t="shared" si="33"/>
        <v>#DIV/0!</v>
      </c>
    </row>
    <row r="88" spans="1:18" x14ac:dyDescent="0.2">
      <c r="A88" s="62">
        <v>3.5000000000000003E-2</v>
      </c>
      <c r="B88" s="62">
        <v>11</v>
      </c>
      <c r="C88" s="63">
        <f t="shared" si="18"/>
        <v>0</v>
      </c>
      <c r="D88">
        <f t="shared" si="19"/>
        <v>0</v>
      </c>
      <c r="E88">
        <f t="shared" si="20"/>
        <v>0</v>
      </c>
      <c r="F88" s="64">
        <f t="shared" si="21"/>
        <v>0</v>
      </c>
      <c r="G88" s="63">
        <f t="shared" si="22"/>
        <v>45</v>
      </c>
      <c r="H88">
        <f t="shared" si="23"/>
        <v>30.822557117816181</v>
      </c>
      <c r="I88">
        <f t="shared" si="24"/>
        <v>2.4966508328618527E-2</v>
      </c>
      <c r="J88" s="64">
        <f t="shared" si="25"/>
        <v>0.27463159161480377</v>
      </c>
      <c r="K88" s="63">
        <f t="shared" si="26"/>
        <v>20</v>
      </c>
      <c r="L88">
        <f t="shared" si="27"/>
        <v>13.698914274584968</v>
      </c>
      <c r="M88">
        <f t="shared" si="28"/>
        <v>2.113489436346604E-2</v>
      </c>
      <c r="N88" s="64">
        <f t="shared" si="29"/>
        <v>0.23248383799812644</v>
      </c>
      <c r="O88" s="63">
        <f t="shared" si="30"/>
        <v>0</v>
      </c>
      <c r="P88">
        <f t="shared" si="31"/>
        <v>0</v>
      </c>
      <c r="Q88" t="e">
        <f t="shared" si="32"/>
        <v>#DIV/0!</v>
      </c>
      <c r="R88" s="64" t="e">
        <f t="shared" si="33"/>
        <v>#DIV/0!</v>
      </c>
    </row>
    <row r="89" spans="1:18" x14ac:dyDescent="0.2">
      <c r="A89" s="62">
        <v>3.5000000000000003E-2</v>
      </c>
      <c r="B89" s="62">
        <v>12</v>
      </c>
      <c r="C89" s="63">
        <f t="shared" si="18"/>
        <v>0</v>
      </c>
      <c r="D89">
        <f t="shared" si="19"/>
        <v>0</v>
      </c>
      <c r="E89">
        <f t="shared" si="20"/>
        <v>0</v>
      </c>
      <c r="F89" s="64">
        <f t="shared" si="21"/>
        <v>0</v>
      </c>
      <c r="G89" s="63">
        <f t="shared" si="22"/>
        <v>45</v>
      </c>
      <c r="H89">
        <f t="shared" si="23"/>
        <v>29.780248423010804</v>
      </c>
      <c r="I89">
        <f t="shared" si="24"/>
        <v>2.4122230269196642E-2</v>
      </c>
      <c r="J89" s="64">
        <f t="shared" si="25"/>
        <v>0.28946676323035969</v>
      </c>
      <c r="K89" s="63">
        <f t="shared" si="26"/>
        <v>20</v>
      </c>
      <c r="L89">
        <f t="shared" si="27"/>
        <v>13.23566596578258</v>
      </c>
      <c r="M89">
        <f t="shared" si="28"/>
        <v>2.0420187790788448E-2</v>
      </c>
      <c r="N89" s="64">
        <f t="shared" si="29"/>
        <v>0.24504225348946138</v>
      </c>
      <c r="O89" s="63">
        <f t="shared" si="30"/>
        <v>0</v>
      </c>
      <c r="P89">
        <f t="shared" si="31"/>
        <v>0</v>
      </c>
      <c r="Q89" t="e">
        <f t="shared" si="32"/>
        <v>#DIV/0!</v>
      </c>
      <c r="R89" s="64" t="e">
        <f t="shared" si="33"/>
        <v>#DIV/0!</v>
      </c>
    </row>
    <row r="90" spans="1:18" x14ac:dyDescent="0.2">
      <c r="A90" s="62">
        <v>3.5000000000000003E-2</v>
      </c>
      <c r="B90" s="62">
        <v>13</v>
      </c>
      <c r="C90" s="63">
        <f t="shared" si="18"/>
        <v>0</v>
      </c>
      <c r="D90">
        <f t="shared" si="19"/>
        <v>0</v>
      </c>
      <c r="E90">
        <f t="shared" si="20"/>
        <v>0</v>
      </c>
      <c r="F90" s="64">
        <f t="shared" si="21"/>
        <v>0</v>
      </c>
      <c r="G90" s="63">
        <f t="shared" si="22"/>
        <v>45</v>
      </c>
      <c r="H90">
        <f t="shared" si="23"/>
        <v>28.773186882136049</v>
      </c>
      <c r="I90">
        <f t="shared" si="24"/>
        <v>2.3306502675552319E-2</v>
      </c>
      <c r="J90" s="64">
        <f t="shared" si="25"/>
        <v>0.30298453478218013</v>
      </c>
      <c r="K90" s="63">
        <f t="shared" si="26"/>
        <v>20</v>
      </c>
      <c r="L90">
        <f t="shared" si="27"/>
        <v>12.788083058727134</v>
      </c>
      <c r="M90">
        <f t="shared" si="28"/>
        <v>1.9729650039409134E-2</v>
      </c>
      <c r="N90" s="64">
        <f t="shared" si="29"/>
        <v>0.25648545051231875</v>
      </c>
      <c r="O90" s="63">
        <f t="shared" si="30"/>
        <v>0</v>
      </c>
      <c r="P90">
        <f t="shared" si="31"/>
        <v>0</v>
      </c>
      <c r="Q90" t="e">
        <f t="shared" si="32"/>
        <v>#DIV/0!</v>
      </c>
      <c r="R90" s="64" t="e">
        <f t="shared" si="33"/>
        <v>#DIV/0!</v>
      </c>
    </row>
    <row r="91" spans="1:18" x14ac:dyDescent="0.2">
      <c r="A91" s="62">
        <v>3.5000000000000003E-2</v>
      </c>
      <c r="B91" s="62">
        <v>14</v>
      </c>
      <c r="C91" s="63">
        <f t="shared" si="18"/>
        <v>0</v>
      </c>
      <c r="D91">
        <f t="shared" si="19"/>
        <v>0</v>
      </c>
      <c r="E91">
        <f t="shared" si="20"/>
        <v>0</v>
      </c>
      <c r="F91" s="64">
        <f t="shared" si="21"/>
        <v>0</v>
      </c>
      <c r="G91" s="63">
        <f t="shared" si="22"/>
        <v>45</v>
      </c>
      <c r="H91">
        <f t="shared" si="23"/>
        <v>27.800180562450286</v>
      </c>
      <c r="I91">
        <f t="shared" si="24"/>
        <v>2.2518360072997408E-2</v>
      </c>
      <c r="J91" s="64">
        <f t="shared" si="25"/>
        <v>0.31525704102196372</v>
      </c>
      <c r="K91" s="63">
        <f t="shared" si="26"/>
        <v>20</v>
      </c>
      <c r="L91">
        <f t="shared" si="27"/>
        <v>12.35563580553346</v>
      </c>
      <c r="M91">
        <f t="shared" si="28"/>
        <v>1.9062463806192396E-2</v>
      </c>
      <c r="N91" s="64">
        <f t="shared" si="29"/>
        <v>0.26687449328669355</v>
      </c>
      <c r="O91" s="63">
        <f t="shared" si="30"/>
        <v>0</v>
      </c>
      <c r="P91">
        <f t="shared" si="31"/>
        <v>0</v>
      </c>
      <c r="Q91" t="e">
        <f t="shared" si="32"/>
        <v>#DIV/0!</v>
      </c>
      <c r="R91" s="64" t="e">
        <f t="shared" si="33"/>
        <v>#DIV/0!</v>
      </c>
    </row>
    <row r="92" spans="1:18" x14ac:dyDescent="0.2">
      <c r="A92" s="62">
        <v>3.5000000000000003E-2</v>
      </c>
      <c r="B92" s="62">
        <v>15</v>
      </c>
      <c r="C92" s="63">
        <f t="shared" si="18"/>
        <v>0</v>
      </c>
      <c r="D92">
        <f t="shared" si="19"/>
        <v>0</v>
      </c>
      <c r="E92">
        <f t="shared" si="20"/>
        <v>0</v>
      </c>
      <c r="F92" s="64">
        <f t="shared" si="21"/>
        <v>0</v>
      </c>
      <c r="G92" s="63">
        <f t="shared" si="22"/>
        <v>45</v>
      </c>
      <c r="H92">
        <f t="shared" si="23"/>
        <v>26.860077838116222</v>
      </c>
      <c r="I92">
        <f t="shared" si="24"/>
        <v>2.1756869635746291E-2</v>
      </c>
      <c r="J92" s="64">
        <f t="shared" si="25"/>
        <v>0.32635304453619435</v>
      </c>
      <c r="K92" s="63">
        <f t="shared" si="26"/>
        <v>20</v>
      </c>
      <c r="L92">
        <f t="shared" si="27"/>
        <v>11.937812372496099</v>
      </c>
      <c r="M92">
        <f t="shared" si="28"/>
        <v>1.8417839426272849E-2</v>
      </c>
      <c r="N92" s="64">
        <f t="shared" si="29"/>
        <v>0.27626759139409274</v>
      </c>
      <c r="O92" s="63">
        <f t="shared" si="30"/>
        <v>0</v>
      </c>
      <c r="P92">
        <f t="shared" si="31"/>
        <v>0</v>
      </c>
      <c r="Q92" t="e">
        <f t="shared" si="32"/>
        <v>#DIV/0!</v>
      </c>
      <c r="R92" s="64" t="e">
        <f t="shared" si="33"/>
        <v>#DIV/0!</v>
      </c>
    </row>
    <row r="93" spans="1:18" x14ac:dyDescent="0.2">
      <c r="A93" s="62">
        <v>3.5000000000000003E-2</v>
      </c>
      <c r="B93" s="62">
        <v>16</v>
      </c>
      <c r="C93" s="63">
        <f t="shared" si="18"/>
        <v>0</v>
      </c>
      <c r="D93">
        <f t="shared" si="19"/>
        <v>0</v>
      </c>
      <c r="E93">
        <f t="shared" si="20"/>
        <v>0</v>
      </c>
      <c r="F93" s="64">
        <f t="shared" si="21"/>
        <v>0</v>
      </c>
      <c r="G93" s="63">
        <f t="shared" si="22"/>
        <v>45</v>
      </c>
      <c r="H93">
        <f t="shared" si="23"/>
        <v>25.951766027165437</v>
      </c>
      <c r="I93">
        <f t="shared" si="24"/>
        <v>2.1021130082846659E-2</v>
      </c>
      <c r="J93" s="64">
        <f t="shared" si="25"/>
        <v>0.33633808132554655</v>
      </c>
      <c r="K93" s="63">
        <f t="shared" si="26"/>
        <v>20</v>
      </c>
      <c r="L93">
        <f t="shared" si="27"/>
        <v>11.53411823429575</v>
      </c>
      <c r="M93">
        <f t="shared" si="28"/>
        <v>1.7795013938427879E-2</v>
      </c>
      <c r="N93" s="64">
        <f t="shared" si="29"/>
        <v>0.28472022301484606</v>
      </c>
      <c r="O93" s="63">
        <f t="shared" si="30"/>
        <v>0</v>
      </c>
      <c r="P93">
        <f t="shared" si="31"/>
        <v>0</v>
      </c>
      <c r="Q93" t="e">
        <f t="shared" si="32"/>
        <v>#DIV/0!</v>
      </c>
      <c r="R93" s="64" t="e">
        <f t="shared" si="33"/>
        <v>#DIV/0!</v>
      </c>
    </row>
    <row r="94" spans="1:18" x14ac:dyDescent="0.2">
      <c r="A94" s="62">
        <v>3.5000000000000003E-2</v>
      </c>
      <c r="B94" s="62">
        <v>17</v>
      </c>
      <c r="C94" s="63">
        <f t="shared" si="18"/>
        <v>0</v>
      </c>
      <c r="D94">
        <f t="shared" si="19"/>
        <v>0</v>
      </c>
      <c r="E94">
        <f t="shared" si="20"/>
        <v>0</v>
      </c>
      <c r="F94" s="64">
        <f t="shared" si="21"/>
        <v>0</v>
      </c>
      <c r="G94" s="63">
        <f t="shared" si="22"/>
        <v>45</v>
      </c>
      <c r="H94">
        <f t="shared" si="23"/>
        <v>25.07417007455598</v>
      </c>
      <c r="I94">
        <f t="shared" si="24"/>
        <v>2.0310270611446048E-2</v>
      </c>
      <c r="J94" s="64">
        <f t="shared" si="25"/>
        <v>0.3452746003945828</v>
      </c>
      <c r="K94" s="63">
        <f t="shared" si="26"/>
        <v>20</v>
      </c>
      <c r="L94">
        <f t="shared" si="27"/>
        <v>11.144075588691546</v>
      </c>
      <c r="M94">
        <f t="shared" si="28"/>
        <v>1.7193250182055923E-2</v>
      </c>
      <c r="N94" s="64">
        <f t="shared" si="29"/>
        <v>0.29228525309495068</v>
      </c>
      <c r="O94" s="63">
        <f t="shared" si="30"/>
        <v>0</v>
      </c>
      <c r="P94">
        <f t="shared" si="31"/>
        <v>0</v>
      </c>
      <c r="Q94" t="e">
        <f t="shared" si="32"/>
        <v>#DIV/0!</v>
      </c>
      <c r="R94" s="64" t="e">
        <f t="shared" si="33"/>
        <v>#DIV/0!</v>
      </c>
    </row>
    <row r="95" spans="1:18" x14ac:dyDescent="0.2">
      <c r="A95" s="62">
        <v>3.5000000000000003E-2</v>
      </c>
      <c r="B95" s="62">
        <v>18</v>
      </c>
      <c r="C95" s="63">
        <f t="shared" si="18"/>
        <v>0</v>
      </c>
      <c r="D95">
        <f t="shared" si="19"/>
        <v>0</v>
      </c>
      <c r="E95">
        <f t="shared" si="20"/>
        <v>0</v>
      </c>
      <c r="F95" s="64">
        <f t="shared" si="21"/>
        <v>0</v>
      </c>
      <c r="G95" s="63">
        <f t="shared" si="22"/>
        <v>45</v>
      </c>
      <c r="H95">
        <f t="shared" si="23"/>
        <v>24.226251279764234</v>
      </c>
      <c r="I95">
        <f t="shared" si="24"/>
        <v>1.9623449866131452E-2</v>
      </c>
      <c r="J95" s="64">
        <f t="shared" si="25"/>
        <v>0.35322209759036616</v>
      </c>
      <c r="K95" s="63">
        <f t="shared" si="26"/>
        <v>20</v>
      </c>
      <c r="L95">
        <f t="shared" si="27"/>
        <v>10.767222791006326</v>
      </c>
      <c r="M95">
        <f t="shared" si="28"/>
        <v>1.6611835924691714E-2</v>
      </c>
      <c r="N95" s="64">
        <f t="shared" si="29"/>
        <v>0.29901304664445083</v>
      </c>
      <c r="O95" s="63">
        <f t="shared" si="30"/>
        <v>0</v>
      </c>
      <c r="P95">
        <f t="shared" si="31"/>
        <v>0</v>
      </c>
      <c r="Q95" t="e">
        <f t="shared" si="32"/>
        <v>#DIV/0!</v>
      </c>
      <c r="R95" s="64" t="e">
        <f t="shared" si="33"/>
        <v>#DIV/0!</v>
      </c>
    </row>
    <row r="96" spans="1:18" x14ac:dyDescent="0.2">
      <c r="A96" s="62">
        <v>3.5000000000000003E-2</v>
      </c>
      <c r="B96" s="62">
        <v>19</v>
      </c>
      <c r="C96" s="63">
        <f t="shared" si="18"/>
        <v>0</v>
      </c>
      <c r="D96">
        <f t="shared" si="19"/>
        <v>0</v>
      </c>
      <c r="E96">
        <f t="shared" si="20"/>
        <v>0</v>
      </c>
      <c r="F96" s="64">
        <f t="shared" si="21"/>
        <v>0</v>
      </c>
      <c r="G96" s="63">
        <f t="shared" si="22"/>
        <v>45</v>
      </c>
      <c r="H96">
        <f t="shared" si="23"/>
        <v>23.407006067405057</v>
      </c>
      <c r="I96">
        <f t="shared" si="24"/>
        <v>1.8959854943122176E-2</v>
      </c>
      <c r="J96" s="64">
        <f t="shared" si="25"/>
        <v>0.36023724391932133</v>
      </c>
      <c r="K96" s="63">
        <f t="shared" si="26"/>
        <v>20</v>
      </c>
      <c r="L96">
        <f t="shared" si="27"/>
        <v>10.403113807735581</v>
      </c>
      <c r="M96">
        <f t="shared" si="28"/>
        <v>1.6050083019025808E-2</v>
      </c>
      <c r="N96" s="64">
        <f t="shared" si="29"/>
        <v>0.30495157736149037</v>
      </c>
      <c r="O96" s="63">
        <f t="shared" si="30"/>
        <v>0</v>
      </c>
      <c r="P96">
        <f t="shared" si="31"/>
        <v>0</v>
      </c>
      <c r="Q96" t="e">
        <f t="shared" si="32"/>
        <v>#DIV/0!</v>
      </c>
      <c r="R96" s="64" t="e">
        <f t="shared" si="33"/>
        <v>#DIV/0!</v>
      </c>
    </row>
    <row r="97" spans="1:18" x14ac:dyDescent="0.2">
      <c r="A97" s="62">
        <v>3.5000000000000003E-2</v>
      </c>
      <c r="B97" s="62">
        <v>20</v>
      </c>
      <c r="C97" s="63">
        <f t="shared" si="18"/>
        <v>0</v>
      </c>
      <c r="D97">
        <f t="shared" si="19"/>
        <v>0</v>
      </c>
      <c r="E97">
        <f t="shared" si="20"/>
        <v>0</v>
      </c>
      <c r="F97" s="64">
        <f t="shared" si="21"/>
        <v>0</v>
      </c>
      <c r="G97" s="63">
        <f t="shared" si="22"/>
        <v>45</v>
      </c>
      <c r="H97">
        <f t="shared" si="23"/>
        <v>22.61546479942518</v>
      </c>
      <c r="I97">
        <f t="shared" si="24"/>
        <v>1.831870042813737E-2</v>
      </c>
      <c r="J97" s="64">
        <f t="shared" si="25"/>
        <v>0.36637400856274738</v>
      </c>
      <c r="K97" s="63">
        <f t="shared" si="26"/>
        <v>20</v>
      </c>
      <c r="L97">
        <f t="shared" si="27"/>
        <v>10.051317688633413</v>
      </c>
      <c r="M97">
        <f t="shared" si="28"/>
        <v>1.5507326588430737E-2</v>
      </c>
      <c r="N97" s="64">
        <f t="shared" si="29"/>
        <v>0.31014653176861473</v>
      </c>
      <c r="O97" s="63">
        <f t="shared" si="30"/>
        <v>0</v>
      </c>
      <c r="P97">
        <f t="shared" si="31"/>
        <v>0</v>
      </c>
      <c r="Q97" t="e">
        <f t="shared" si="32"/>
        <v>#DIV/0!</v>
      </c>
      <c r="R97" s="64" t="e">
        <f t="shared" si="33"/>
        <v>#DIV/0!</v>
      </c>
    </row>
    <row r="98" spans="1:18" x14ac:dyDescent="0.2">
      <c r="A98" s="62">
        <f>0.035+0.0005*(B98-20)</f>
        <v>3.5500000000000004E-2</v>
      </c>
      <c r="B98" s="62">
        <v>21</v>
      </c>
      <c r="C98" s="63">
        <f t="shared" si="18"/>
        <v>0</v>
      </c>
      <c r="D98">
        <f t="shared" si="19"/>
        <v>0</v>
      </c>
      <c r="E98">
        <f t="shared" si="20"/>
        <v>0</v>
      </c>
      <c r="F98" s="64">
        <f t="shared" si="21"/>
        <v>0</v>
      </c>
      <c r="G98" s="63">
        <f t="shared" si="22"/>
        <v>45</v>
      </c>
      <c r="H98">
        <f t="shared" si="23"/>
        <v>21.630190580213192</v>
      </c>
      <c r="I98">
        <f t="shared" si="24"/>
        <v>1.7520620732611056E-2</v>
      </c>
      <c r="J98" s="64">
        <f t="shared" si="25"/>
        <v>0.36793303538483219</v>
      </c>
      <c r="K98" s="63">
        <f t="shared" si="26"/>
        <v>20</v>
      </c>
      <c r="L98">
        <f t="shared" si="27"/>
        <v>9.6134180356503069</v>
      </c>
      <c r="M98">
        <f t="shared" si="28"/>
        <v>1.4831728309465905E-2</v>
      </c>
      <c r="N98" s="64">
        <f t="shared" si="29"/>
        <v>0.31146629449878399</v>
      </c>
      <c r="O98" s="63">
        <f t="shared" si="30"/>
        <v>0</v>
      </c>
      <c r="P98">
        <f t="shared" si="31"/>
        <v>0</v>
      </c>
      <c r="Q98" t="e">
        <f t="shared" si="32"/>
        <v>#DIV/0!</v>
      </c>
      <c r="R98" s="64" t="e">
        <f t="shared" si="33"/>
        <v>#DIV/0!</v>
      </c>
    </row>
    <row r="99" spans="1:18" x14ac:dyDescent="0.2">
      <c r="A99" s="62">
        <f t="shared" ref="A99:A137" si="34">0.035+0.0005*(B99-20)</f>
        <v>3.6000000000000004E-2</v>
      </c>
      <c r="B99" s="62">
        <v>22</v>
      </c>
      <c r="C99" s="63">
        <f t="shared" si="18"/>
        <v>0</v>
      </c>
      <c r="D99">
        <f t="shared" si="19"/>
        <v>0</v>
      </c>
      <c r="E99">
        <f t="shared" si="20"/>
        <v>0</v>
      </c>
      <c r="F99" s="64">
        <f t="shared" si="21"/>
        <v>0</v>
      </c>
      <c r="G99" s="63">
        <f t="shared" si="22"/>
        <v>45</v>
      </c>
      <c r="H99">
        <f t="shared" si="23"/>
        <v>20.667973440086392</v>
      </c>
      <c r="I99">
        <f t="shared" si="24"/>
        <v>1.6741217448480897E-2</v>
      </c>
      <c r="J99" s="64">
        <f t="shared" si="25"/>
        <v>0.36830678386657972</v>
      </c>
      <c r="K99" s="63">
        <f t="shared" si="26"/>
        <v>20</v>
      </c>
      <c r="L99">
        <f t="shared" si="27"/>
        <v>9.1857659733717298</v>
      </c>
      <c r="M99">
        <f t="shared" si="28"/>
        <v>1.4171940170098927E-2</v>
      </c>
      <c r="N99" s="64">
        <f t="shared" si="29"/>
        <v>0.31178268374217638</v>
      </c>
      <c r="O99" s="63">
        <f t="shared" si="30"/>
        <v>0</v>
      </c>
      <c r="P99">
        <f t="shared" si="31"/>
        <v>0</v>
      </c>
      <c r="Q99" t="e">
        <f t="shared" si="32"/>
        <v>#DIV/0!</v>
      </c>
      <c r="R99" s="64" t="e">
        <f t="shared" si="33"/>
        <v>#DIV/0!</v>
      </c>
    </row>
    <row r="100" spans="1:18" x14ac:dyDescent="0.2">
      <c r="A100" s="62">
        <f t="shared" si="34"/>
        <v>3.6500000000000005E-2</v>
      </c>
      <c r="B100" s="62">
        <v>23</v>
      </c>
      <c r="C100" s="63">
        <f t="shared" si="18"/>
        <v>0</v>
      </c>
      <c r="D100">
        <f t="shared" si="19"/>
        <v>0</v>
      </c>
      <c r="E100">
        <f t="shared" si="20"/>
        <v>0</v>
      </c>
      <c r="F100" s="64">
        <f t="shared" si="21"/>
        <v>0</v>
      </c>
      <c r="G100" s="63">
        <f t="shared" si="22"/>
        <v>45</v>
      </c>
      <c r="H100">
        <f t="shared" si="23"/>
        <v>19.729608426142164</v>
      </c>
      <c r="I100">
        <f t="shared" si="24"/>
        <v>1.5981134570010668E-2</v>
      </c>
      <c r="J100" s="64">
        <f t="shared" si="25"/>
        <v>0.36756609511024535</v>
      </c>
      <c r="K100" s="63">
        <f t="shared" si="26"/>
        <v>20</v>
      </c>
      <c r="L100">
        <f t="shared" si="27"/>
        <v>8.768714856063184</v>
      </c>
      <c r="M100">
        <f t="shared" si="28"/>
        <v>1.3528507330692489E-2</v>
      </c>
      <c r="N100" s="64">
        <f t="shared" si="29"/>
        <v>0.31115566860592725</v>
      </c>
      <c r="O100" s="63">
        <f t="shared" si="30"/>
        <v>0</v>
      </c>
      <c r="P100">
        <f t="shared" si="31"/>
        <v>0</v>
      </c>
      <c r="Q100" t="e">
        <f t="shared" si="32"/>
        <v>#DIV/0!</v>
      </c>
      <c r="R100" s="64" t="e">
        <f t="shared" si="33"/>
        <v>#DIV/0!</v>
      </c>
    </row>
    <row r="101" spans="1:18" x14ac:dyDescent="0.2">
      <c r="A101" s="62">
        <f t="shared" si="34"/>
        <v>3.7000000000000005E-2</v>
      </c>
      <c r="B101" s="62">
        <v>24</v>
      </c>
      <c r="C101" s="63">
        <f t="shared" si="18"/>
        <v>0</v>
      </c>
      <c r="D101">
        <f t="shared" si="19"/>
        <v>0</v>
      </c>
      <c r="E101">
        <f t="shared" si="20"/>
        <v>0</v>
      </c>
      <c r="F101" s="64">
        <f t="shared" si="21"/>
        <v>0</v>
      </c>
      <c r="G101" s="63">
        <f t="shared" si="22"/>
        <v>45</v>
      </c>
      <c r="H101">
        <f t="shared" si="23"/>
        <v>18.815785802071758</v>
      </c>
      <c r="I101">
        <f t="shared" si="24"/>
        <v>1.5240931216099249E-2</v>
      </c>
      <c r="J101" s="64">
        <f t="shared" si="25"/>
        <v>0.36578234918638197</v>
      </c>
      <c r="K101" s="63">
        <f t="shared" si="26"/>
        <v>20</v>
      </c>
      <c r="L101">
        <f t="shared" si="27"/>
        <v>8.3625714675874487</v>
      </c>
      <c r="M101">
        <f t="shared" si="28"/>
        <v>1.2901903102080009E-2</v>
      </c>
      <c r="N101" s="64">
        <f t="shared" si="29"/>
        <v>0.30964567444992019</v>
      </c>
      <c r="O101" s="63">
        <f t="shared" si="30"/>
        <v>0</v>
      </c>
      <c r="P101">
        <f t="shared" si="31"/>
        <v>0</v>
      </c>
      <c r="Q101" t="e">
        <f t="shared" si="32"/>
        <v>#DIV/0!</v>
      </c>
      <c r="R101" s="64" t="e">
        <f t="shared" si="33"/>
        <v>#DIV/0!</v>
      </c>
    </row>
    <row r="102" spans="1:18" x14ac:dyDescent="0.2">
      <c r="A102" s="62">
        <f t="shared" si="34"/>
        <v>3.7500000000000006E-2</v>
      </c>
      <c r="B102" s="62">
        <v>25</v>
      </c>
      <c r="C102" s="63">
        <f t="shared" si="18"/>
        <v>0</v>
      </c>
      <c r="D102">
        <f t="shared" si="19"/>
        <v>0</v>
      </c>
      <c r="E102">
        <f t="shared" si="20"/>
        <v>0</v>
      </c>
      <c r="F102" s="64">
        <f t="shared" si="21"/>
        <v>0</v>
      </c>
      <c r="G102" s="63">
        <f t="shared" si="22"/>
        <v>45</v>
      </c>
      <c r="H102">
        <f t="shared" si="23"/>
        <v>17.927093317981246</v>
      </c>
      <c r="I102">
        <f t="shared" si="24"/>
        <v>1.4521083468853077E-2</v>
      </c>
      <c r="J102" s="64">
        <f t="shared" si="25"/>
        <v>0.36302708672132694</v>
      </c>
      <c r="K102" s="63">
        <f t="shared" si="26"/>
        <v>20</v>
      </c>
      <c r="L102">
        <f t="shared" si="27"/>
        <v>7.967597030213887</v>
      </c>
      <c r="M102">
        <f t="shared" si="28"/>
        <v>1.2292530501972066E-2</v>
      </c>
      <c r="N102" s="64">
        <f t="shared" si="29"/>
        <v>0.30731326254930164</v>
      </c>
      <c r="O102" s="63">
        <f t="shared" si="30"/>
        <v>0</v>
      </c>
      <c r="P102">
        <f t="shared" si="31"/>
        <v>0</v>
      </c>
      <c r="Q102" t="e">
        <f t="shared" si="32"/>
        <v>#DIV/0!</v>
      </c>
      <c r="R102" s="64" t="e">
        <f t="shared" si="33"/>
        <v>#DIV/0!</v>
      </c>
    </row>
    <row r="103" spans="1:18" x14ac:dyDescent="0.2">
      <c r="A103" s="62">
        <f t="shared" si="34"/>
        <v>3.8000000000000006E-2</v>
      </c>
      <c r="B103" s="62">
        <v>26</v>
      </c>
      <c r="C103" s="63">
        <f t="shared" si="18"/>
        <v>0</v>
      </c>
      <c r="D103">
        <f t="shared" si="19"/>
        <v>0</v>
      </c>
      <c r="E103">
        <f t="shared" si="20"/>
        <v>0</v>
      </c>
      <c r="F103" s="64">
        <f t="shared" si="21"/>
        <v>0</v>
      </c>
      <c r="G103" s="63">
        <f t="shared" si="22"/>
        <v>45</v>
      </c>
      <c r="H103">
        <f t="shared" si="23"/>
        <v>17.064018860254947</v>
      </c>
      <c r="I103">
        <f t="shared" si="24"/>
        <v>1.3821986519995893E-2</v>
      </c>
      <c r="J103" s="64">
        <f t="shared" si="25"/>
        <v>0.3593716495198932</v>
      </c>
      <c r="K103" s="63">
        <f t="shared" si="26"/>
        <v>20</v>
      </c>
      <c r="L103">
        <f t="shared" si="27"/>
        <v>7.584008382335532</v>
      </c>
      <c r="M103">
        <f t="shared" si="28"/>
        <v>1.1700724071956324E-2</v>
      </c>
      <c r="N103" s="64">
        <f t="shared" si="29"/>
        <v>0.30421882587086441</v>
      </c>
      <c r="O103" s="63">
        <f t="shared" si="30"/>
        <v>0</v>
      </c>
      <c r="P103">
        <f t="shared" si="31"/>
        <v>0</v>
      </c>
      <c r="Q103" t="e">
        <f t="shared" si="32"/>
        <v>#DIV/0!</v>
      </c>
      <c r="R103" s="64" t="e">
        <f t="shared" si="33"/>
        <v>#DIV/0!</v>
      </c>
    </row>
    <row r="104" spans="1:18" x14ac:dyDescent="0.2">
      <c r="A104" s="62">
        <f t="shared" si="34"/>
        <v>3.8500000000000006E-2</v>
      </c>
      <c r="B104" s="62">
        <v>27</v>
      </c>
      <c r="C104" s="63">
        <f t="shared" si="18"/>
        <v>0</v>
      </c>
      <c r="D104">
        <f t="shared" si="19"/>
        <v>0</v>
      </c>
      <c r="E104">
        <f t="shared" si="20"/>
        <v>0</v>
      </c>
      <c r="F104" s="64">
        <f t="shared" si="21"/>
        <v>0</v>
      </c>
      <c r="G104" s="63">
        <f t="shared" si="22"/>
        <v>45</v>
      </c>
      <c r="H104">
        <f t="shared" si="23"/>
        <v>16.226953447953619</v>
      </c>
      <c r="I104">
        <f t="shared" si="24"/>
        <v>1.3143957097974328E-2</v>
      </c>
      <c r="J104" s="64">
        <f t="shared" si="25"/>
        <v>0.35488684164530687</v>
      </c>
      <c r="K104" s="63">
        <f t="shared" si="26"/>
        <v>20</v>
      </c>
      <c r="L104">
        <f t="shared" si="27"/>
        <v>7.2119793102016079</v>
      </c>
      <c r="M104">
        <f t="shared" si="28"/>
        <v>1.1126751932114827E-2</v>
      </c>
      <c r="N104" s="64">
        <f t="shared" si="29"/>
        <v>0.30042230216710031</v>
      </c>
      <c r="O104" s="63">
        <f t="shared" si="30"/>
        <v>0</v>
      </c>
      <c r="P104">
        <f t="shared" si="31"/>
        <v>0</v>
      </c>
      <c r="Q104" t="e">
        <f t="shared" si="32"/>
        <v>#DIV/0!</v>
      </c>
      <c r="R104" s="64" t="e">
        <f t="shared" si="33"/>
        <v>#DIV/0!</v>
      </c>
    </row>
    <row r="105" spans="1:18" x14ac:dyDescent="0.2">
      <c r="A105" s="62">
        <f t="shared" si="34"/>
        <v>3.9000000000000007E-2</v>
      </c>
      <c r="B105" s="62">
        <v>28</v>
      </c>
      <c r="C105" s="63">
        <f t="shared" si="18"/>
        <v>0</v>
      </c>
      <c r="D105">
        <f t="shared" si="19"/>
        <v>0</v>
      </c>
      <c r="E105">
        <f t="shared" si="20"/>
        <v>0</v>
      </c>
      <c r="F105" s="64">
        <f t="shared" si="21"/>
        <v>0</v>
      </c>
      <c r="G105" s="63">
        <f t="shared" si="22"/>
        <v>45</v>
      </c>
      <c r="H105">
        <f t="shared" si="23"/>
        <v>15.416194541585394</v>
      </c>
      <c r="I105">
        <f t="shared" si="24"/>
        <v>1.2487236148087801E-2</v>
      </c>
      <c r="J105" s="64">
        <f t="shared" si="25"/>
        <v>0.34964261214645842</v>
      </c>
      <c r="K105" s="63">
        <f t="shared" si="26"/>
        <v>20</v>
      </c>
      <c r="L105">
        <f t="shared" si="27"/>
        <v>6.8516420184823978</v>
      </c>
      <c r="M105">
        <f t="shared" si="28"/>
        <v>1.0570818049833949E-2</v>
      </c>
      <c r="N105" s="64">
        <f t="shared" si="29"/>
        <v>0.29598290539535055</v>
      </c>
      <c r="O105" s="63">
        <f t="shared" si="30"/>
        <v>0</v>
      </c>
      <c r="P105">
        <f t="shared" si="31"/>
        <v>0</v>
      </c>
      <c r="Q105" t="e">
        <f t="shared" si="32"/>
        <v>#DIV/0!</v>
      </c>
      <c r="R105" s="64" t="e">
        <f t="shared" si="33"/>
        <v>#DIV/0!</v>
      </c>
    </row>
    <row r="106" spans="1:18" x14ac:dyDescent="0.2">
      <c r="A106" s="62">
        <f t="shared" si="34"/>
        <v>3.9500000000000007E-2</v>
      </c>
      <c r="B106" s="62">
        <v>29</v>
      </c>
      <c r="C106" s="63">
        <f t="shared" si="18"/>
        <v>0</v>
      </c>
      <c r="D106">
        <f t="shared" si="19"/>
        <v>0</v>
      </c>
      <c r="E106">
        <f t="shared" si="20"/>
        <v>0</v>
      </c>
      <c r="F106" s="64">
        <f t="shared" si="21"/>
        <v>0</v>
      </c>
      <c r="G106" s="63">
        <f t="shared" si="22"/>
        <v>45</v>
      </c>
      <c r="H106">
        <f t="shared" si="23"/>
        <v>14.631949629715919</v>
      </c>
      <c r="I106">
        <f t="shared" si="24"/>
        <v>1.185199173767033E-2</v>
      </c>
      <c r="J106" s="64">
        <f t="shared" si="25"/>
        <v>0.34370776039243955</v>
      </c>
      <c r="K106" s="63">
        <f t="shared" si="26"/>
        <v>20</v>
      </c>
      <c r="L106">
        <f t="shared" si="27"/>
        <v>6.5030887243181867</v>
      </c>
      <c r="M106">
        <f t="shared" si="28"/>
        <v>1.0033064699127483E-2</v>
      </c>
      <c r="N106" s="64">
        <f t="shared" si="29"/>
        <v>0.29095887627469702</v>
      </c>
      <c r="O106" s="63">
        <f t="shared" si="30"/>
        <v>0</v>
      </c>
      <c r="P106">
        <f t="shared" si="31"/>
        <v>0</v>
      </c>
      <c r="Q106" t="e">
        <f t="shared" si="32"/>
        <v>#DIV/0!</v>
      </c>
      <c r="R106" s="64" t="e">
        <f t="shared" si="33"/>
        <v>#DIV/0!</v>
      </c>
    </row>
    <row r="107" spans="1:18" x14ac:dyDescent="0.2">
      <c r="A107" s="62">
        <f t="shared" si="34"/>
        <v>0.04</v>
      </c>
      <c r="B107" s="62">
        <v>30</v>
      </c>
      <c r="C107" s="63">
        <f t="shared" si="18"/>
        <v>0</v>
      </c>
      <c r="D107">
        <f t="shared" si="19"/>
        <v>0</v>
      </c>
      <c r="E107">
        <f t="shared" si="20"/>
        <v>0</v>
      </c>
      <c r="F107" s="64">
        <f t="shared" si="21"/>
        <v>0</v>
      </c>
      <c r="G107" s="63">
        <f t="shared" si="22"/>
        <v>45</v>
      </c>
      <c r="H107">
        <f t="shared" si="23"/>
        <v>13.874340058803915</v>
      </c>
      <c r="I107">
        <f t="shared" si="24"/>
        <v>1.1238322158286783E-2</v>
      </c>
      <c r="J107" s="64">
        <f t="shared" si="25"/>
        <v>0.33714966474860347</v>
      </c>
      <c r="K107" s="63">
        <f t="shared" si="26"/>
        <v>20</v>
      </c>
      <c r="L107">
        <f t="shared" si="27"/>
        <v>6.1663733594684063</v>
      </c>
      <c r="M107">
        <f t="shared" si="28"/>
        <v>9.5135750867383542E-3</v>
      </c>
      <c r="N107" s="64">
        <f t="shared" si="29"/>
        <v>0.28540725260215061</v>
      </c>
      <c r="O107" s="63">
        <f t="shared" si="30"/>
        <v>0</v>
      </c>
      <c r="P107">
        <f t="shared" si="31"/>
        <v>0</v>
      </c>
      <c r="Q107" t="e">
        <f t="shared" si="32"/>
        <v>#DIV/0!</v>
      </c>
      <c r="R107" s="64" t="e">
        <f t="shared" si="33"/>
        <v>#DIV/0!</v>
      </c>
    </row>
    <row r="108" spans="1:18" x14ac:dyDescent="0.2">
      <c r="A108" s="62">
        <f t="shared" si="34"/>
        <v>4.0500000000000001E-2</v>
      </c>
      <c r="B108" s="62">
        <v>31</v>
      </c>
      <c r="C108" s="63">
        <f t="shared" si="18"/>
        <v>0</v>
      </c>
      <c r="D108">
        <f t="shared" si="19"/>
        <v>0</v>
      </c>
      <c r="E108">
        <f t="shared" si="20"/>
        <v>0</v>
      </c>
      <c r="F108" s="64">
        <f t="shared" si="21"/>
        <v>0</v>
      </c>
      <c r="G108" s="63">
        <f t="shared" si="22"/>
        <v>45</v>
      </c>
      <c r="H108">
        <f t="shared" si="23"/>
        <v>13.143405071824226</v>
      </c>
      <c r="I108">
        <f t="shared" si="24"/>
        <v>1.0646259197048607E-2</v>
      </c>
      <c r="J108" s="64">
        <f t="shared" si="25"/>
        <v>0.33003403510850682</v>
      </c>
      <c r="K108" s="63">
        <f t="shared" si="26"/>
        <v>20</v>
      </c>
      <c r="L108">
        <f t="shared" si="27"/>
        <v>5.8415133652552118</v>
      </c>
      <c r="M108">
        <f t="shared" si="28"/>
        <v>9.0123761214050187E-3</v>
      </c>
      <c r="N108" s="64">
        <f t="shared" si="29"/>
        <v>0.27938365976355556</v>
      </c>
      <c r="O108" s="63">
        <f t="shared" si="30"/>
        <v>0</v>
      </c>
      <c r="P108">
        <f t="shared" si="31"/>
        <v>0</v>
      </c>
      <c r="Q108" t="e">
        <f t="shared" si="32"/>
        <v>#DIV/0!</v>
      </c>
      <c r="R108" s="64" t="e">
        <f t="shared" si="33"/>
        <v>#DIV/0!</v>
      </c>
    </row>
    <row r="109" spans="1:18" x14ac:dyDescent="0.2">
      <c r="A109" s="62">
        <f t="shared" si="34"/>
        <v>4.1000000000000002E-2</v>
      </c>
      <c r="B109" s="62">
        <v>32</v>
      </c>
      <c r="C109" s="63">
        <f t="shared" si="18"/>
        <v>0</v>
      </c>
      <c r="D109">
        <f t="shared" si="19"/>
        <v>0</v>
      </c>
      <c r="E109">
        <f t="shared" si="20"/>
        <v>0</v>
      </c>
      <c r="F109" s="64">
        <f t="shared" si="21"/>
        <v>0</v>
      </c>
      <c r="G109" s="63">
        <f t="shared" si="22"/>
        <v>45</v>
      </c>
      <c r="H109">
        <f t="shared" si="23"/>
        <v>12.439106021679455</v>
      </c>
      <c r="I109">
        <f t="shared" si="24"/>
        <v>1.0075771549509668E-2</v>
      </c>
      <c r="J109" s="64">
        <f t="shared" si="25"/>
        <v>0.32242468958430937</v>
      </c>
      <c r="K109" s="63">
        <f t="shared" si="26"/>
        <v>20</v>
      </c>
      <c r="L109">
        <f t="shared" si="27"/>
        <v>5.528491565190869</v>
      </c>
      <c r="M109">
        <f t="shared" si="28"/>
        <v>8.5294413029796141E-3</v>
      </c>
      <c r="N109" s="64">
        <f t="shared" si="29"/>
        <v>0.27294212169534765</v>
      </c>
      <c r="O109" s="63">
        <f t="shared" si="30"/>
        <v>0</v>
      </c>
      <c r="P109">
        <f t="shared" si="31"/>
        <v>0</v>
      </c>
      <c r="Q109" t="e">
        <f t="shared" si="32"/>
        <v>#DIV/0!</v>
      </c>
      <c r="R109" s="64" t="e">
        <f t="shared" si="33"/>
        <v>#DIV/0!</v>
      </c>
    </row>
    <row r="110" spans="1:18" x14ac:dyDescent="0.2">
      <c r="A110" s="62">
        <f t="shared" si="34"/>
        <v>4.1500000000000002E-2</v>
      </c>
      <c r="B110" s="62">
        <v>33</v>
      </c>
      <c r="C110" s="63">
        <f t="shared" si="18"/>
        <v>0</v>
      </c>
      <c r="D110">
        <f t="shared" si="19"/>
        <v>0</v>
      </c>
      <c r="E110">
        <f t="shared" si="20"/>
        <v>0</v>
      </c>
      <c r="F110" s="64">
        <f t="shared" si="21"/>
        <v>0</v>
      </c>
      <c r="G110" s="63">
        <f t="shared" si="22"/>
        <v>45</v>
      </c>
      <c r="H110">
        <f t="shared" si="23"/>
        <v>11.761330726064179</v>
      </c>
      <c r="I110">
        <f t="shared" si="24"/>
        <v>9.5267683471397524E-3</v>
      </c>
      <c r="J110" s="64">
        <f t="shared" si="25"/>
        <v>0.3143833554556118</v>
      </c>
      <c r="K110" s="63">
        <f t="shared" si="26"/>
        <v>20</v>
      </c>
      <c r="L110">
        <f t="shared" si="27"/>
        <v>5.2272581004729686</v>
      </c>
      <c r="M110">
        <f t="shared" si="28"/>
        <v>8.0646937085395737E-3</v>
      </c>
      <c r="N110" s="64">
        <f t="shared" si="29"/>
        <v>0.26613489238180593</v>
      </c>
      <c r="O110" s="63">
        <f t="shared" si="30"/>
        <v>0</v>
      </c>
      <c r="P110">
        <f t="shared" si="31"/>
        <v>0</v>
      </c>
      <c r="Q110" t="e">
        <f t="shared" si="32"/>
        <v>#DIV/0!</v>
      </c>
      <c r="R110" s="64" t="e">
        <f t="shared" si="33"/>
        <v>#DIV/0!</v>
      </c>
    </row>
    <row r="111" spans="1:18" x14ac:dyDescent="0.2">
      <c r="A111" s="62">
        <f t="shared" si="34"/>
        <v>4.2000000000000003E-2</v>
      </c>
      <c r="B111" s="62">
        <v>34</v>
      </c>
      <c r="C111" s="63">
        <f t="shared" si="18"/>
        <v>0</v>
      </c>
      <c r="D111">
        <f t="shared" si="19"/>
        <v>0</v>
      </c>
      <c r="E111">
        <f t="shared" si="20"/>
        <v>0</v>
      </c>
      <c r="F111" s="64">
        <f t="shared" si="21"/>
        <v>0</v>
      </c>
      <c r="G111" s="63">
        <f t="shared" si="22"/>
        <v>45</v>
      </c>
      <c r="H111">
        <f t="shared" si="23"/>
        <v>11.10989793133038</v>
      </c>
      <c r="I111">
        <f t="shared" si="24"/>
        <v>8.9991027730899065E-3</v>
      </c>
      <c r="J111" s="64">
        <f t="shared" si="25"/>
        <v>0.30596949428505682</v>
      </c>
      <c r="K111" s="63">
        <f t="shared" si="26"/>
        <v>20</v>
      </c>
      <c r="L111">
        <f t="shared" si="27"/>
        <v>4.9377324139246133</v>
      </c>
      <c r="M111">
        <f t="shared" si="28"/>
        <v>7.6180090532408703E-3</v>
      </c>
      <c r="N111" s="64">
        <f t="shared" si="29"/>
        <v>0.25901230781018958</v>
      </c>
      <c r="O111" s="63">
        <f t="shared" si="30"/>
        <v>0</v>
      </c>
      <c r="P111">
        <f t="shared" si="31"/>
        <v>0</v>
      </c>
      <c r="Q111" t="e">
        <f t="shared" si="32"/>
        <v>#DIV/0!</v>
      </c>
      <c r="R111" s="64" t="e">
        <f t="shared" si="33"/>
        <v>#DIV/0!</v>
      </c>
    </row>
    <row r="112" spans="1:18" x14ac:dyDescent="0.2">
      <c r="A112" s="62">
        <f t="shared" si="34"/>
        <v>4.2500000000000003E-2</v>
      </c>
      <c r="B112" s="62">
        <v>35</v>
      </c>
      <c r="C112" s="63">
        <f t="shared" si="18"/>
        <v>0</v>
      </c>
      <c r="D112">
        <f t="shared" si="19"/>
        <v>0</v>
      </c>
      <c r="E112">
        <f t="shared" si="20"/>
        <v>0</v>
      </c>
      <c r="F112" s="64">
        <f t="shared" si="21"/>
        <v>0</v>
      </c>
      <c r="G112" s="63">
        <f t="shared" si="22"/>
        <v>45</v>
      </c>
      <c r="H112">
        <f t="shared" si="23"/>
        <v>10.484561853982724</v>
      </c>
      <c r="I112">
        <f t="shared" si="24"/>
        <v>8.4925757408385334E-3</v>
      </c>
      <c r="J112" s="64">
        <f t="shared" si="25"/>
        <v>0.29724015092934869</v>
      </c>
      <c r="K112" s="63">
        <f t="shared" si="26"/>
        <v>20</v>
      </c>
      <c r="L112">
        <f t="shared" si="27"/>
        <v>4.6598052684367657</v>
      </c>
      <c r="M112">
        <f t="shared" si="28"/>
        <v>7.1892188044017317E-3</v>
      </c>
      <c r="N112" s="64">
        <f t="shared" si="29"/>
        <v>0.2516226581540606</v>
      </c>
      <c r="O112" s="63">
        <f t="shared" si="30"/>
        <v>0</v>
      </c>
      <c r="P112">
        <f t="shared" si="31"/>
        <v>0</v>
      </c>
      <c r="Q112" t="e">
        <f t="shared" si="32"/>
        <v>#DIV/0!</v>
      </c>
      <c r="R112" s="64" t="e">
        <f t="shared" si="33"/>
        <v>#DIV/0!</v>
      </c>
    </row>
    <row r="113" spans="1:18" x14ac:dyDescent="0.2">
      <c r="A113" s="62">
        <f t="shared" si="34"/>
        <v>4.3000000000000003E-2</v>
      </c>
      <c r="B113" s="62">
        <v>36</v>
      </c>
      <c r="C113" s="63">
        <f t="shared" si="18"/>
        <v>0</v>
      </c>
      <c r="D113">
        <f t="shared" si="19"/>
        <v>0</v>
      </c>
      <c r="E113">
        <f t="shared" si="20"/>
        <v>0</v>
      </c>
      <c r="F113" s="64">
        <f t="shared" si="21"/>
        <v>0</v>
      </c>
      <c r="G113" s="63">
        <f t="shared" si="22"/>
        <v>45</v>
      </c>
      <c r="H113">
        <f t="shared" si="23"/>
        <v>9.8850167696880629</v>
      </c>
      <c r="I113">
        <f t="shared" si="24"/>
        <v>8.0069396113243863E-3</v>
      </c>
      <c r="J113" s="64">
        <f t="shared" si="25"/>
        <v>0.2882498260076779</v>
      </c>
      <c r="K113" s="63">
        <f t="shared" si="26"/>
        <v>20</v>
      </c>
      <c r="L113">
        <f t="shared" si="27"/>
        <v>4.3933407865280278</v>
      </c>
      <c r="M113">
        <f t="shared" si="28"/>
        <v>6.7781133281666446E-3</v>
      </c>
      <c r="N113" s="64">
        <f t="shared" si="29"/>
        <v>0.24401207981399919</v>
      </c>
      <c r="O113" s="63">
        <f t="shared" si="30"/>
        <v>0</v>
      </c>
      <c r="P113">
        <f t="shared" si="31"/>
        <v>0</v>
      </c>
      <c r="Q113" t="e">
        <f t="shared" si="32"/>
        <v>#DIV/0!</v>
      </c>
      <c r="R113" s="64" t="e">
        <f t="shared" si="33"/>
        <v>#DIV/0!</v>
      </c>
    </row>
    <row r="114" spans="1:18" x14ac:dyDescent="0.2">
      <c r="A114" s="62">
        <f t="shared" si="34"/>
        <v>4.3500000000000004E-2</v>
      </c>
      <c r="B114" s="62">
        <v>37</v>
      </c>
      <c r="C114" s="63">
        <f t="shared" si="18"/>
        <v>0</v>
      </c>
      <c r="D114">
        <f t="shared" si="19"/>
        <v>0</v>
      </c>
      <c r="E114">
        <f t="shared" si="20"/>
        <v>0</v>
      </c>
      <c r="F114" s="64">
        <f t="shared" si="21"/>
        <v>0</v>
      </c>
      <c r="G114" s="63">
        <f t="shared" si="22"/>
        <v>45</v>
      </c>
      <c r="H114">
        <f t="shared" si="23"/>
        <v>9.3109016210946898</v>
      </c>
      <c r="I114">
        <f t="shared" si="24"/>
        <v>7.5419019253156125E-3</v>
      </c>
      <c r="J114" s="64">
        <f t="shared" si="25"/>
        <v>0.27905037123667764</v>
      </c>
      <c r="K114" s="63">
        <f t="shared" si="26"/>
        <v>20</v>
      </c>
      <c r="L114">
        <f t="shared" si="27"/>
        <v>4.1381784982643062</v>
      </c>
      <c r="M114">
        <f t="shared" si="28"/>
        <v>6.3844450490681236E-3</v>
      </c>
      <c r="N114" s="64">
        <f t="shared" si="29"/>
        <v>0.23622446681552056</v>
      </c>
      <c r="O114" s="63">
        <f t="shared" si="30"/>
        <v>0</v>
      </c>
      <c r="P114">
        <f t="shared" si="31"/>
        <v>0</v>
      </c>
      <c r="Q114" t="e">
        <f t="shared" si="32"/>
        <v>#DIV/0!</v>
      </c>
      <c r="R114" s="64" t="e">
        <f t="shared" si="33"/>
        <v>#DIV/0!</v>
      </c>
    </row>
    <row r="115" spans="1:18" x14ac:dyDescent="0.2">
      <c r="A115" s="62">
        <f t="shared" si="34"/>
        <v>4.4000000000000004E-2</v>
      </c>
      <c r="B115" s="62">
        <v>38</v>
      </c>
      <c r="C115" s="63">
        <f t="shared" si="18"/>
        <v>0</v>
      </c>
      <c r="D115">
        <f t="shared" si="19"/>
        <v>0</v>
      </c>
      <c r="E115">
        <f t="shared" si="20"/>
        <v>0</v>
      </c>
      <c r="F115" s="64">
        <f t="shared" si="21"/>
        <v>0</v>
      </c>
      <c r="G115" s="63">
        <f t="shared" si="22"/>
        <v>45</v>
      </c>
      <c r="H115">
        <f t="shared" si="23"/>
        <v>8.7618046173032553</v>
      </c>
      <c r="I115">
        <f t="shared" si="24"/>
        <v>7.0971291290165611E-3</v>
      </c>
      <c r="J115" s="64">
        <f t="shared" si="25"/>
        <v>0.26969090690262931</v>
      </c>
      <c r="K115" s="63">
        <f t="shared" si="26"/>
        <v>20</v>
      </c>
      <c r="L115">
        <f t="shared" si="27"/>
        <v>3.8941353854681138</v>
      </c>
      <c r="M115">
        <f t="shared" si="28"/>
        <v>6.0079316038640718E-3</v>
      </c>
      <c r="N115" s="64">
        <f t="shared" si="29"/>
        <v>0.22830140094683474</v>
      </c>
      <c r="O115" s="63">
        <f t="shared" si="30"/>
        <v>0</v>
      </c>
      <c r="P115">
        <f t="shared" si="31"/>
        <v>0</v>
      </c>
      <c r="Q115" t="e">
        <f t="shared" si="32"/>
        <v>#DIV/0!</v>
      </c>
      <c r="R115" s="64" t="e">
        <f t="shared" si="33"/>
        <v>#DIV/0!</v>
      </c>
    </row>
    <row r="116" spans="1:18" x14ac:dyDescent="0.2">
      <c r="A116" s="62">
        <f t="shared" si="34"/>
        <v>4.4500000000000005E-2</v>
      </c>
      <c r="B116" s="62">
        <v>39</v>
      </c>
      <c r="C116" s="63">
        <f t="shared" si="18"/>
        <v>0</v>
      </c>
      <c r="D116">
        <f t="shared" si="19"/>
        <v>0</v>
      </c>
      <c r="E116">
        <f t="shared" si="20"/>
        <v>0</v>
      </c>
      <c r="F116" s="64">
        <f t="shared" si="21"/>
        <v>0</v>
      </c>
      <c r="G116" s="63">
        <f t="shared" si="22"/>
        <v>45</v>
      </c>
      <c r="H116">
        <f t="shared" si="23"/>
        <v>8.2372677994894623</v>
      </c>
      <c r="I116">
        <f t="shared" si="24"/>
        <v>6.672250272257289E-3</v>
      </c>
      <c r="J116" s="64">
        <f t="shared" si="25"/>
        <v>0.26021776061803426</v>
      </c>
      <c r="K116" s="63">
        <f t="shared" si="26"/>
        <v>20</v>
      </c>
      <c r="L116">
        <f t="shared" si="27"/>
        <v>3.6610079108842055</v>
      </c>
      <c r="M116">
        <f t="shared" si="28"/>
        <v>5.6482589721655431E-3</v>
      </c>
      <c r="N116" s="64">
        <f t="shared" si="29"/>
        <v>0.22028209991445619</v>
      </c>
      <c r="O116" s="63">
        <f t="shared" si="30"/>
        <v>0</v>
      </c>
      <c r="P116">
        <f t="shared" si="31"/>
        <v>0</v>
      </c>
      <c r="Q116" t="e">
        <f t="shared" si="32"/>
        <v>#DIV/0!</v>
      </c>
      <c r="R116" s="64" t="e">
        <f t="shared" si="33"/>
        <v>#DIV/0!</v>
      </c>
    </row>
    <row r="117" spans="1:18" x14ac:dyDescent="0.2">
      <c r="A117" s="62">
        <f t="shared" si="34"/>
        <v>4.5000000000000005E-2</v>
      </c>
      <c r="B117" s="62">
        <v>40</v>
      </c>
      <c r="C117" s="63">
        <f t="shared" si="18"/>
        <v>0</v>
      </c>
      <c r="D117">
        <f t="shared" si="19"/>
        <v>0</v>
      </c>
      <c r="E117">
        <f t="shared" si="20"/>
        <v>0</v>
      </c>
      <c r="F117" s="64">
        <f t="shared" si="21"/>
        <v>0</v>
      </c>
      <c r="G117" s="63">
        <f t="shared" si="22"/>
        <v>45</v>
      </c>
      <c r="H117">
        <f t="shared" si="23"/>
        <v>7.7367915489334536</v>
      </c>
      <c r="I117">
        <f t="shared" si="24"/>
        <v>6.2668606600320307E-3</v>
      </c>
      <c r="J117" s="64">
        <f t="shared" si="25"/>
        <v>0.25067442640128124</v>
      </c>
      <c r="K117" s="63">
        <f t="shared" si="26"/>
        <v>20</v>
      </c>
      <c r="L117">
        <f t="shared" si="27"/>
        <v>3.4385740217482015</v>
      </c>
      <c r="M117">
        <f t="shared" si="28"/>
        <v>5.3050845675730457E-3</v>
      </c>
      <c r="N117" s="64">
        <f t="shared" si="29"/>
        <v>0.21220338270292183</v>
      </c>
      <c r="O117" s="63">
        <f t="shared" si="30"/>
        <v>0</v>
      </c>
      <c r="P117">
        <f t="shared" si="31"/>
        <v>0</v>
      </c>
      <c r="Q117" t="e">
        <f t="shared" si="32"/>
        <v>#DIV/0!</v>
      </c>
      <c r="R117" s="64" t="e">
        <f t="shared" si="33"/>
        <v>#DIV/0!</v>
      </c>
    </row>
    <row r="118" spans="1:18" x14ac:dyDescent="0.2">
      <c r="A118" s="62">
        <f t="shared" si="34"/>
        <v>4.5500000000000006E-2</v>
      </c>
      <c r="B118" s="62">
        <v>41</v>
      </c>
      <c r="C118" s="63">
        <f t="shared" si="18"/>
        <v>0</v>
      </c>
      <c r="D118">
        <f t="shared" si="19"/>
        <v>0</v>
      </c>
      <c r="E118">
        <f t="shared" si="20"/>
        <v>0</v>
      </c>
      <c r="F118" s="64">
        <f t="shared" si="21"/>
        <v>0</v>
      </c>
      <c r="G118" s="63">
        <f t="shared" si="22"/>
        <v>45</v>
      </c>
      <c r="H118">
        <f t="shared" si="23"/>
        <v>7.2598390155320587</v>
      </c>
      <c r="I118">
        <f t="shared" si="24"/>
        <v>5.8805254396281856E-3</v>
      </c>
      <c r="J118" s="64">
        <f t="shared" si="25"/>
        <v>0.24110154302475562</v>
      </c>
      <c r="K118" s="63">
        <f t="shared" si="26"/>
        <v>20</v>
      </c>
      <c r="L118">
        <f t="shared" si="27"/>
        <v>3.2265951180142483</v>
      </c>
      <c r="M118">
        <f t="shared" si="28"/>
        <v>4.9780402742882644E-3</v>
      </c>
      <c r="N118" s="64">
        <f t="shared" si="29"/>
        <v>0.20409965124581883</v>
      </c>
      <c r="O118" s="63">
        <f t="shared" si="30"/>
        <v>0</v>
      </c>
      <c r="P118">
        <f t="shared" si="31"/>
        <v>0</v>
      </c>
      <c r="Q118" t="e">
        <f t="shared" si="32"/>
        <v>#DIV/0!</v>
      </c>
      <c r="R118" s="64" t="e">
        <f t="shared" si="33"/>
        <v>#DIV/0!</v>
      </c>
    </row>
    <row r="119" spans="1:18" x14ac:dyDescent="0.2">
      <c r="A119" s="62">
        <f t="shared" si="34"/>
        <v>4.5999999999999999E-2</v>
      </c>
      <c r="B119" s="62">
        <v>42</v>
      </c>
      <c r="C119" s="63">
        <f t="shared" si="18"/>
        <v>0</v>
      </c>
      <c r="D119">
        <f t="shared" si="19"/>
        <v>0</v>
      </c>
      <c r="E119">
        <f t="shared" si="20"/>
        <v>0</v>
      </c>
      <c r="F119" s="64">
        <f t="shared" si="21"/>
        <v>0</v>
      </c>
      <c r="G119" s="63">
        <f t="shared" si="22"/>
        <v>45</v>
      </c>
      <c r="H119">
        <f t="shared" si="23"/>
        <v>6.8058404467493059</v>
      </c>
      <c r="I119">
        <f t="shared" si="24"/>
        <v>5.5127831071095212E-3</v>
      </c>
      <c r="J119" s="64">
        <f t="shared" si="25"/>
        <v>0.23153689049859988</v>
      </c>
      <c r="K119" s="63">
        <f t="shared" si="26"/>
        <v>20</v>
      </c>
      <c r="L119">
        <f t="shared" si="27"/>
        <v>3.0248179763330252</v>
      </c>
      <c r="M119">
        <f t="shared" si="28"/>
        <v>4.6667354154567445E-3</v>
      </c>
      <c r="N119" s="64">
        <f t="shared" si="29"/>
        <v>0.19600288744918326</v>
      </c>
      <c r="O119" s="63">
        <f t="shared" si="30"/>
        <v>0</v>
      </c>
      <c r="P119">
        <f t="shared" si="31"/>
        <v>0</v>
      </c>
      <c r="Q119" t="e">
        <f t="shared" si="32"/>
        <v>#DIV/0!</v>
      </c>
      <c r="R119" s="64" t="e">
        <f t="shared" si="33"/>
        <v>#DIV/0!</v>
      </c>
    </row>
    <row r="120" spans="1:18" x14ac:dyDescent="0.2">
      <c r="A120" s="62">
        <f t="shared" si="34"/>
        <v>4.65E-2</v>
      </c>
      <c r="B120" s="62">
        <v>43</v>
      </c>
      <c r="C120" s="63">
        <f t="shared" si="18"/>
        <v>0</v>
      </c>
      <c r="D120">
        <f t="shared" si="19"/>
        <v>0</v>
      </c>
      <c r="E120">
        <f t="shared" si="20"/>
        <v>0</v>
      </c>
      <c r="F120" s="64">
        <f t="shared" si="21"/>
        <v>0</v>
      </c>
      <c r="G120" s="63">
        <f t="shared" si="22"/>
        <v>45</v>
      </c>
      <c r="H120">
        <f t="shared" si="23"/>
        <v>6.374197398868084</v>
      </c>
      <c r="I120">
        <f t="shared" si="24"/>
        <v>5.1631489184624131E-3</v>
      </c>
      <c r="J120" s="64">
        <f t="shared" si="25"/>
        <v>0.22201540349388377</v>
      </c>
      <c r="K120" s="63">
        <f t="shared" si="26"/>
        <v>20</v>
      </c>
      <c r="L120">
        <f t="shared" si="27"/>
        <v>2.8329766217191481</v>
      </c>
      <c r="M120">
        <f t="shared" si="28"/>
        <v>4.3707596408049717E-3</v>
      </c>
      <c r="N120" s="64">
        <f t="shared" si="29"/>
        <v>0.18794266455461378</v>
      </c>
      <c r="O120" s="63">
        <f t="shared" si="30"/>
        <v>0</v>
      </c>
      <c r="P120">
        <f t="shared" si="31"/>
        <v>0</v>
      </c>
      <c r="Q120" t="e">
        <f t="shared" si="32"/>
        <v>#DIV/0!</v>
      </c>
      <c r="R120" s="64" t="e">
        <f t="shared" si="33"/>
        <v>#DIV/0!</v>
      </c>
    </row>
    <row r="121" spans="1:18" x14ac:dyDescent="0.2">
      <c r="A121" s="62">
        <f t="shared" si="34"/>
        <v>4.7E-2</v>
      </c>
      <c r="B121" s="62">
        <v>44</v>
      </c>
      <c r="C121" s="63">
        <f t="shared" si="18"/>
        <v>0</v>
      </c>
      <c r="D121">
        <f t="shared" si="19"/>
        <v>0</v>
      </c>
      <c r="E121">
        <f t="shared" si="20"/>
        <v>0</v>
      </c>
      <c r="F121" s="64">
        <f t="shared" si="21"/>
        <v>0</v>
      </c>
      <c r="G121" s="63">
        <f t="shared" si="22"/>
        <v>45</v>
      </c>
      <c r="H121">
        <f t="shared" si="23"/>
        <v>5.9642868143337937</v>
      </c>
      <c r="I121">
        <f t="shared" si="24"/>
        <v>4.8311181922755606E-3</v>
      </c>
      <c r="J121" s="64">
        <f t="shared" si="25"/>
        <v>0.21256920046012467</v>
      </c>
      <c r="K121" s="63">
        <f t="shared" si="26"/>
        <v>20</v>
      </c>
      <c r="L121">
        <f t="shared" si="27"/>
        <v>2.6507941397039083</v>
      </c>
      <c r="M121">
        <f t="shared" si="28"/>
        <v>4.0896857224573223E-3</v>
      </c>
      <c r="N121" s="64">
        <f t="shared" si="29"/>
        <v>0.17994617178812217</v>
      </c>
      <c r="O121" s="63">
        <f t="shared" si="30"/>
        <v>0</v>
      </c>
      <c r="P121">
        <f t="shared" si="31"/>
        <v>0</v>
      </c>
      <c r="Q121" t="e">
        <f t="shared" si="32"/>
        <v>#DIV/0!</v>
      </c>
      <c r="R121" s="64" t="e">
        <f t="shared" si="33"/>
        <v>#DIV/0!</v>
      </c>
    </row>
    <row r="122" spans="1:18" x14ac:dyDescent="0.2">
      <c r="A122" s="62">
        <f t="shared" si="34"/>
        <v>4.7500000000000001E-2</v>
      </c>
      <c r="B122" s="62">
        <v>45</v>
      </c>
      <c r="C122" s="63">
        <f t="shared" si="18"/>
        <v>0</v>
      </c>
      <c r="D122">
        <f t="shared" si="19"/>
        <v>0</v>
      </c>
      <c r="E122">
        <f t="shared" si="20"/>
        <v>0</v>
      </c>
      <c r="F122" s="64">
        <f t="shared" si="21"/>
        <v>0</v>
      </c>
      <c r="G122" s="63">
        <f t="shared" si="22"/>
        <v>45</v>
      </c>
      <c r="H122">
        <f t="shared" si="23"/>
        <v>5.5754649509004199</v>
      </c>
      <c r="I122">
        <f t="shared" si="24"/>
        <v>4.5161694923785255E-3</v>
      </c>
      <c r="J122" s="64">
        <f t="shared" si="25"/>
        <v>0.20322762715703366</v>
      </c>
      <c r="K122" s="63">
        <f t="shared" si="26"/>
        <v>20</v>
      </c>
      <c r="L122">
        <f t="shared" si="27"/>
        <v>2.4779844226224088</v>
      </c>
      <c r="M122">
        <f t="shared" si="28"/>
        <v>3.823072249134554E-3</v>
      </c>
      <c r="N122" s="64">
        <f t="shared" si="29"/>
        <v>0.17203825121105493</v>
      </c>
      <c r="O122" s="63">
        <f t="shared" si="30"/>
        <v>0</v>
      </c>
      <c r="P122">
        <f t="shared" si="31"/>
        <v>0</v>
      </c>
      <c r="Q122" t="e">
        <f t="shared" si="32"/>
        <v>#DIV/0!</v>
      </c>
      <c r="R122" s="64" t="e">
        <f t="shared" si="33"/>
        <v>#DIV/0!</v>
      </c>
    </row>
    <row r="123" spans="1:18" x14ac:dyDescent="0.2">
      <c r="A123" s="62">
        <f t="shared" si="34"/>
        <v>4.8000000000000001E-2</v>
      </c>
      <c r="B123" s="62">
        <v>46</v>
      </c>
      <c r="C123" s="63">
        <f t="shared" si="18"/>
        <v>0</v>
      </c>
      <c r="D123">
        <f t="shared" si="19"/>
        <v>0</v>
      </c>
      <c r="E123">
        <f t="shared" si="20"/>
        <v>0</v>
      </c>
      <c r="F123" s="64">
        <f t="shared" si="21"/>
        <v>0</v>
      </c>
      <c r="G123" s="63">
        <f t="shared" si="22"/>
        <v>45</v>
      </c>
      <c r="H123">
        <f t="shared" si="23"/>
        <v>5.2070711501964597</v>
      </c>
      <c r="I123">
        <f t="shared" si="24"/>
        <v>4.2177676804091195E-3</v>
      </c>
      <c r="J123" s="64">
        <f t="shared" si="25"/>
        <v>0.19401731329881949</v>
      </c>
      <c r="K123" s="63">
        <f t="shared" si="26"/>
        <v>20</v>
      </c>
      <c r="L123">
        <f t="shared" si="27"/>
        <v>2.3142538445317595</v>
      </c>
      <c r="M123">
        <f t="shared" si="28"/>
        <v>3.5704662102432026E-3</v>
      </c>
      <c r="N123" s="64">
        <f t="shared" si="29"/>
        <v>0.16424144567118731</v>
      </c>
      <c r="O123" s="63">
        <f t="shared" si="30"/>
        <v>0</v>
      </c>
      <c r="P123">
        <f t="shared" si="31"/>
        <v>0</v>
      </c>
      <c r="Q123" t="e">
        <f t="shared" si="32"/>
        <v>#DIV/0!</v>
      </c>
      <c r="R123" s="64" t="e">
        <f t="shared" si="33"/>
        <v>#DIV/0!</v>
      </c>
    </row>
    <row r="124" spans="1:18" x14ac:dyDescent="0.2">
      <c r="A124" s="62">
        <f t="shared" si="34"/>
        <v>4.8500000000000001E-2</v>
      </c>
      <c r="B124" s="62">
        <v>47</v>
      </c>
      <c r="C124" s="63">
        <f t="shared" si="18"/>
        <v>0</v>
      </c>
      <c r="D124">
        <f t="shared" si="19"/>
        <v>0</v>
      </c>
      <c r="E124">
        <f t="shared" si="20"/>
        <v>0</v>
      </c>
      <c r="F124" s="64">
        <f t="shared" si="21"/>
        <v>0</v>
      </c>
      <c r="G124" s="63">
        <f t="shared" si="22"/>
        <v>45</v>
      </c>
      <c r="H124">
        <f t="shared" si="23"/>
        <v>4.8584314351969784</v>
      </c>
      <c r="I124">
        <f t="shared" si="24"/>
        <v>3.9353668297934371E-3</v>
      </c>
      <c r="J124" s="64">
        <f t="shared" si="25"/>
        <v>0.18496224100029154</v>
      </c>
      <c r="K124" s="63">
        <f t="shared" si="26"/>
        <v>20</v>
      </c>
      <c r="L124">
        <f t="shared" si="27"/>
        <v>2.1593028600875459</v>
      </c>
      <c r="M124">
        <f t="shared" si="28"/>
        <v>3.3314054626466384E-3</v>
      </c>
      <c r="N124" s="64">
        <f t="shared" si="29"/>
        <v>0.15657605674439201</v>
      </c>
      <c r="O124" s="63">
        <f t="shared" si="30"/>
        <v>0</v>
      </c>
      <c r="P124">
        <f t="shared" si="31"/>
        <v>0</v>
      </c>
      <c r="Q124" t="e">
        <f t="shared" si="32"/>
        <v>#DIV/0!</v>
      </c>
      <c r="R124" s="64" t="e">
        <f t="shared" si="33"/>
        <v>#DIV/0!</v>
      </c>
    </row>
    <row r="125" spans="1:18" x14ac:dyDescent="0.2">
      <c r="A125" s="62">
        <f t="shared" si="34"/>
        <v>4.9000000000000002E-2</v>
      </c>
      <c r="B125" s="62">
        <v>48</v>
      </c>
      <c r="C125" s="63">
        <f t="shared" si="18"/>
        <v>0</v>
      </c>
      <c r="D125">
        <f t="shared" si="19"/>
        <v>0</v>
      </c>
      <c r="E125">
        <f t="shared" si="20"/>
        <v>0</v>
      </c>
      <c r="F125" s="64">
        <f t="shared" si="21"/>
        <v>0</v>
      </c>
      <c r="G125" s="63">
        <f t="shared" si="22"/>
        <v>45</v>
      </c>
      <c r="H125">
        <f t="shared" si="23"/>
        <v>4.5288619279153774</v>
      </c>
      <c r="I125">
        <f t="shared" si="24"/>
        <v>3.6684129941024755E-3</v>
      </c>
      <c r="J125" s="64">
        <f t="shared" si="25"/>
        <v>0.17608382371691883</v>
      </c>
      <c r="K125" s="63">
        <f t="shared" si="26"/>
        <v>20</v>
      </c>
      <c r="L125">
        <f t="shared" si="27"/>
        <v>2.0128275235179456</v>
      </c>
      <c r="M125">
        <f t="shared" si="28"/>
        <v>3.1054210741615568E-3</v>
      </c>
      <c r="N125" s="64">
        <f t="shared" si="29"/>
        <v>0.14906021155975474</v>
      </c>
      <c r="O125" s="63">
        <f t="shared" si="30"/>
        <v>0</v>
      </c>
      <c r="P125">
        <f t="shared" si="31"/>
        <v>0</v>
      </c>
      <c r="Q125" t="e">
        <f t="shared" si="32"/>
        <v>#DIV/0!</v>
      </c>
      <c r="R125" s="64" t="e">
        <f t="shared" si="33"/>
        <v>#DIV/0!</v>
      </c>
    </row>
    <row r="126" spans="1:18" x14ac:dyDescent="0.2">
      <c r="A126" s="62">
        <f t="shared" si="34"/>
        <v>4.9500000000000002E-2</v>
      </c>
      <c r="B126" s="62">
        <v>49</v>
      </c>
      <c r="C126" s="63">
        <f t="shared" si="18"/>
        <v>0</v>
      </c>
      <c r="D126">
        <f t="shared" si="19"/>
        <v>0</v>
      </c>
      <c r="E126">
        <f t="shared" si="20"/>
        <v>0</v>
      </c>
      <c r="F126" s="64">
        <f t="shared" si="21"/>
        <v>0</v>
      </c>
      <c r="G126" s="63">
        <f t="shared" si="22"/>
        <v>45</v>
      </c>
      <c r="H126">
        <f t="shared" si="23"/>
        <v>4.2176720803924832</v>
      </c>
      <c r="I126">
        <f t="shared" si="24"/>
        <v>3.4163468241781439E-3</v>
      </c>
      <c r="J126" s="64">
        <f t="shared" si="25"/>
        <v>0.16740099438472905</v>
      </c>
      <c r="K126" s="63">
        <f t="shared" si="26"/>
        <v>20</v>
      </c>
      <c r="L126">
        <f t="shared" si="27"/>
        <v>1.8745209246188814</v>
      </c>
      <c r="M126">
        <f t="shared" si="28"/>
        <v>2.892039539033252E-3</v>
      </c>
      <c r="N126" s="64">
        <f t="shared" si="29"/>
        <v>0.14170993741262936</v>
      </c>
      <c r="O126" s="63">
        <f t="shared" si="30"/>
        <v>0</v>
      </c>
      <c r="P126">
        <f t="shared" si="31"/>
        <v>0</v>
      </c>
      <c r="Q126" t="e">
        <f t="shared" si="32"/>
        <v>#DIV/0!</v>
      </c>
      <c r="R126" s="64" t="e">
        <f t="shared" si="33"/>
        <v>#DIV/0!</v>
      </c>
    </row>
    <row r="127" spans="1:18" x14ac:dyDescent="0.2">
      <c r="A127" s="62">
        <f t="shared" si="34"/>
        <v>0.05</v>
      </c>
      <c r="B127" s="62">
        <v>50</v>
      </c>
      <c r="C127" s="63">
        <f t="shared" si="18"/>
        <v>0</v>
      </c>
      <c r="D127">
        <f t="shared" si="19"/>
        <v>0</v>
      </c>
      <c r="E127">
        <f t="shared" si="20"/>
        <v>0</v>
      </c>
      <c r="F127" s="64">
        <f t="shared" si="21"/>
        <v>0</v>
      </c>
      <c r="G127" s="63">
        <f t="shared" si="22"/>
        <v>1045</v>
      </c>
      <c r="H127">
        <f t="shared" si="23"/>
        <v>91.127894686137722</v>
      </c>
      <c r="I127">
        <f t="shared" si="24"/>
        <v>7.3814295580811512E-2</v>
      </c>
      <c r="J127" s="64">
        <f t="shared" si="25"/>
        <v>3.6907147790405754</v>
      </c>
      <c r="K127" s="63">
        <f t="shared" si="26"/>
        <v>1020</v>
      </c>
      <c r="L127">
        <f t="shared" si="27"/>
        <v>88.947801511828203</v>
      </c>
      <c r="M127">
        <f t="shared" si="28"/>
        <v>0.13723002795212316</v>
      </c>
      <c r="N127" s="64">
        <f t="shared" si="29"/>
        <v>6.8615013976061583</v>
      </c>
      <c r="O127" s="63">
        <f t="shared" si="30"/>
        <v>0</v>
      </c>
      <c r="P127">
        <f t="shared" si="31"/>
        <v>0</v>
      </c>
      <c r="Q127" t="e">
        <f t="shared" si="32"/>
        <v>#DIV/0!</v>
      </c>
      <c r="R127" s="64" t="e">
        <f t="shared" si="33"/>
        <v>#DIV/0!</v>
      </c>
    </row>
    <row r="128" spans="1:18" x14ac:dyDescent="0.2">
      <c r="A128" s="62">
        <f t="shared" si="34"/>
        <v>5.0500000000000003E-2</v>
      </c>
      <c r="B128" s="62">
        <v>51</v>
      </c>
      <c r="C128" s="63">
        <f t="shared" si="18"/>
        <v>0</v>
      </c>
      <c r="D128">
        <f t="shared" si="19"/>
        <v>0</v>
      </c>
      <c r="E128">
        <f t="shared" si="20"/>
        <v>0</v>
      </c>
      <c r="F128" s="64">
        <f t="shared" si="21"/>
        <v>0</v>
      </c>
      <c r="G128" s="63">
        <f t="shared" si="22"/>
        <v>0</v>
      </c>
      <c r="H128">
        <f t="shared" si="23"/>
        <v>0</v>
      </c>
      <c r="I128">
        <f t="shared" si="24"/>
        <v>0</v>
      </c>
      <c r="J128" s="64">
        <f t="shared" si="25"/>
        <v>0</v>
      </c>
      <c r="K128" s="63">
        <f t="shared" si="26"/>
        <v>0</v>
      </c>
      <c r="L128">
        <f t="shared" si="27"/>
        <v>0</v>
      </c>
      <c r="M128">
        <f t="shared" si="28"/>
        <v>0</v>
      </c>
      <c r="N128" s="64">
        <f t="shared" si="29"/>
        <v>0</v>
      </c>
      <c r="O128" s="63">
        <f t="shared" si="30"/>
        <v>0</v>
      </c>
      <c r="P128">
        <f t="shared" si="31"/>
        <v>0</v>
      </c>
      <c r="Q128" t="e">
        <f t="shared" si="32"/>
        <v>#DIV/0!</v>
      </c>
      <c r="R128" s="64" t="e">
        <f t="shared" si="33"/>
        <v>#DIV/0!</v>
      </c>
    </row>
    <row r="129" spans="1:18" x14ac:dyDescent="0.2">
      <c r="A129" s="62">
        <f t="shared" si="34"/>
        <v>5.1000000000000004E-2</v>
      </c>
      <c r="B129" s="62">
        <v>52</v>
      </c>
      <c r="C129" s="63">
        <f t="shared" si="18"/>
        <v>0</v>
      </c>
      <c r="D129">
        <f t="shared" si="19"/>
        <v>0</v>
      </c>
      <c r="E129">
        <f t="shared" si="20"/>
        <v>0</v>
      </c>
      <c r="F129" s="64">
        <f t="shared" si="21"/>
        <v>0</v>
      </c>
      <c r="G129" s="63">
        <f t="shared" si="22"/>
        <v>0</v>
      </c>
      <c r="H129">
        <f t="shared" si="23"/>
        <v>0</v>
      </c>
      <c r="I129">
        <f t="shared" si="24"/>
        <v>0</v>
      </c>
      <c r="J129" s="64">
        <f t="shared" si="25"/>
        <v>0</v>
      </c>
      <c r="K129" s="63">
        <f t="shared" si="26"/>
        <v>0</v>
      </c>
      <c r="L129">
        <f t="shared" si="27"/>
        <v>0</v>
      </c>
      <c r="M129">
        <f t="shared" si="28"/>
        <v>0</v>
      </c>
      <c r="N129" s="64">
        <f t="shared" si="29"/>
        <v>0</v>
      </c>
      <c r="O129" s="63">
        <f t="shared" si="30"/>
        <v>0</v>
      </c>
      <c r="P129">
        <f t="shared" si="31"/>
        <v>0</v>
      </c>
      <c r="Q129" t="e">
        <f t="shared" si="32"/>
        <v>#DIV/0!</v>
      </c>
      <c r="R129" s="64" t="e">
        <f t="shared" si="33"/>
        <v>#DIV/0!</v>
      </c>
    </row>
    <row r="130" spans="1:18" x14ac:dyDescent="0.2">
      <c r="A130" s="62">
        <f t="shared" si="34"/>
        <v>5.1500000000000004E-2</v>
      </c>
      <c r="B130" s="62">
        <v>53</v>
      </c>
      <c r="C130" s="63">
        <f t="shared" si="18"/>
        <v>0</v>
      </c>
      <c r="D130">
        <f t="shared" si="19"/>
        <v>0</v>
      </c>
      <c r="E130">
        <f t="shared" si="20"/>
        <v>0</v>
      </c>
      <c r="F130" s="64">
        <f t="shared" si="21"/>
        <v>0</v>
      </c>
      <c r="G130" s="63">
        <f t="shared" si="22"/>
        <v>0</v>
      </c>
      <c r="H130">
        <f t="shared" si="23"/>
        <v>0</v>
      </c>
      <c r="I130">
        <f t="shared" si="24"/>
        <v>0</v>
      </c>
      <c r="J130" s="64">
        <f t="shared" si="25"/>
        <v>0</v>
      </c>
      <c r="K130" s="63">
        <f t="shared" si="26"/>
        <v>0</v>
      </c>
      <c r="L130">
        <f t="shared" si="27"/>
        <v>0</v>
      </c>
      <c r="M130">
        <f t="shared" si="28"/>
        <v>0</v>
      </c>
      <c r="N130" s="64">
        <f t="shared" si="29"/>
        <v>0</v>
      </c>
      <c r="O130" s="63">
        <f t="shared" si="30"/>
        <v>0</v>
      </c>
      <c r="P130">
        <f t="shared" si="31"/>
        <v>0</v>
      </c>
      <c r="Q130" t="e">
        <f t="shared" si="32"/>
        <v>#DIV/0!</v>
      </c>
      <c r="R130" s="64" t="e">
        <f t="shared" si="33"/>
        <v>#DIV/0!</v>
      </c>
    </row>
    <row r="131" spans="1:18" x14ac:dyDescent="0.2">
      <c r="A131" s="62">
        <f t="shared" si="34"/>
        <v>5.2000000000000005E-2</v>
      </c>
      <c r="B131" s="62">
        <v>54</v>
      </c>
      <c r="C131" s="63">
        <f t="shared" si="18"/>
        <v>0</v>
      </c>
      <c r="D131">
        <f t="shared" si="19"/>
        <v>0</v>
      </c>
      <c r="E131">
        <f t="shared" si="20"/>
        <v>0</v>
      </c>
      <c r="F131" s="64">
        <f t="shared" si="21"/>
        <v>0</v>
      </c>
      <c r="G131" s="63">
        <f t="shared" si="22"/>
        <v>0</v>
      </c>
      <c r="H131">
        <f t="shared" si="23"/>
        <v>0</v>
      </c>
      <c r="I131">
        <f t="shared" si="24"/>
        <v>0</v>
      </c>
      <c r="J131" s="64">
        <f t="shared" si="25"/>
        <v>0</v>
      </c>
      <c r="K131" s="63">
        <f t="shared" si="26"/>
        <v>0</v>
      </c>
      <c r="L131">
        <f t="shared" si="27"/>
        <v>0</v>
      </c>
      <c r="M131">
        <f t="shared" si="28"/>
        <v>0</v>
      </c>
      <c r="N131" s="64">
        <f t="shared" si="29"/>
        <v>0</v>
      </c>
      <c r="O131" s="63">
        <f t="shared" si="30"/>
        <v>0</v>
      </c>
      <c r="P131">
        <f t="shared" si="31"/>
        <v>0</v>
      </c>
      <c r="Q131" t="e">
        <f t="shared" si="32"/>
        <v>#DIV/0!</v>
      </c>
      <c r="R131" s="64" t="e">
        <f t="shared" si="33"/>
        <v>#DIV/0!</v>
      </c>
    </row>
    <row r="132" spans="1:18" x14ac:dyDescent="0.2">
      <c r="A132" s="62">
        <f t="shared" si="34"/>
        <v>5.2500000000000005E-2</v>
      </c>
      <c r="B132" s="62">
        <v>55</v>
      </c>
      <c r="C132" s="63">
        <f t="shared" si="18"/>
        <v>0</v>
      </c>
      <c r="D132">
        <f t="shared" si="19"/>
        <v>0</v>
      </c>
      <c r="E132">
        <f t="shared" si="20"/>
        <v>0</v>
      </c>
      <c r="F132" s="64">
        <f t="shared" si="21"/>
        <v>0</v>
      </c>
      <c r="G132" s="63">
        <f t="shared" si="22"/>
        <v>0</v>
      </c>
      <c r="H132">
        <f t="shared" si="23"/>
        <v>0</v>
      </c>
      <c r="I132">
        <f t="shared" si="24"/>
        <v>0</v>
      </c>
      <c r="J132" s="64">
        <f t="shared" si="25"/>
        <v>0</v>
      </c>
      <c r="K132" s="63">
        <f t="shared" si="26"/>
        <v>0</v>
      </c>
      <c r="L132">
        <f t="shared" si="27"/>
        <v>0</v>
      </c>
      <c r="M132">
        <f t="shared" si="28"/>
        <v>0</v>
      </c>
      <c r="N132" s="64">
        <f t="shared" si="29"/>
        <v>0</v>
      </c>
      <c r="O132" s="63">
        <f t="shared" si="30"/>
        <v>0</v>
      </c>
      <c r="P132">
        <f t="shared" si="31"/>
        <v>0</v>
      </c>
      <c r="Q132" t="e">
        <f t="shared" si="32"/>
        <v>#DIV/0!</v>
      </c>
      <c r="R132" s="64" t="e">
        <f t="shared" si="33"/>
        <v>#DIV/0!</v>
      </c>
    </row>
    <row r="133" spans="1:18" x14ac:dyDescent="0.2">
      <c r="A133" s="62">
        <f t="shared" si="34"/>
        <v>5.3000000000000005E-2</v>
      </c>
      <c r="B133" s="62">
        <v>56</v>
      </c>
      <c r="C133" s="63">
        <f t="shared" si="18"/>
        <v>0</v>
      </c>
      <c r="D133">
        <f t="shared" si="19"/>
        <v>0</v>
      </c>
      <c r="E133">
        <f t="shared" si="20"/>
        <v>0</v>
      </c>
      <c r="F133" s="64">
        <f t="shared" si="21"/>
        <v>0</v>
      </c>
      <c r="G133" s="63">
        <f t="shared" si="22"/>
        <v>0</v>
      </c>
      <c r="H133">
        <f t="shared" si="23"/>
        <v>0</v>
      </c>
      <c r="I133">
        <f t="shared" si="24"/>
        <v>0</v>
      </c>
      <c r="J133" s="64">
        <f t="shared" si="25"/>
        <v>0</v>
      </c>
      <c r="K133" s="63">
        <f t="shared" si="26"/>
        <v>0</v>
      </c>
      <c r="L133">
        <f t="shared" si="27"/>
        <v>0</v>
      </c>
      <c r="M133">
        <f t="shared" si="28"/>
        <v>0</v>
      </c>
      <c r="N133" s="64">
        <f t="shared" si="29"/>
        <v>0</v>
      </c>
      <c r="O133" s="63">
        <f t="shared" si="30"/>
        <v>0</v>
      </c>
      <c r="P133">
        <f t="shared" si="31"/>
        <v>0</v>
      </c>
      <c r="Q133" t="e">
        <f t="shared" si="32"/>
        <v>#DIV/0!</v>
      </c>
      <c r="R133" s="64" t="e">
        <f t="shared" si="33"/>
        <v>#DIV/0!</v>
      </c>
    </row>
    <row r="134" spans="1:18" x14ac:dyDescent="0.2">
      <c r="A134" s="62">
        <f t="shared" si="34"/>
        <v>5.3500000000000006E-2</v>
      </c>
      <c r="B134" s="62">
        <v>57</v>
      </c>
      <c r="C134" s="63">
        <f t="shared" si="18"/>
        <v>0</v>
      </c>
      <c r="D134">
        <f t="shared" si="19"/>
        <v>0</v>
      </c>
      <c r="E134">
        <f t="shared" si="20"/>
        <v>0</v>
      </c>
      <c r="F134" s="64">
        <f t="shared" si="21"/>
        <v>0</v>
      </c>
      <c r="G134" s="63">
        <f t="shared" si="22"/>
        <v>0</v>
      </c>
      <c r="H134">
        <f t="shared" si="23"/>
        <v>0</v>
      </c>
      <c r="I134">
        <f t="shared" si="24"/>
        <v>0</v>
      </c>
      <c r="J134" s="64">
        <f t="shared" si="25"/>
        <v>0</v>
      </c>
      <c r="K134" s="63">
        <f t="shared" si="26"/>
        <v>0</v>
      </c>
      <c r="L134">
        <f t="shared" si="27"/>
        <v>0</v>
      </c>
      <c r="M134">
        <f t="shared" si="28"/>
        <v>0</v>
      </c>
      <c r="N134" s="64">
        <f t="shared" si="29"/>
        <v>0</v>
      </c>
      <c r="O134" s="63">
        <f t="shared" si="30"/>
        <v>0</v>
      </c>
      <c r="P134">
        <f t="shared" si="31"/>
        <v>0</v>
      </c>
      <c r="Q134" t="e">
        <f t="shared" si="32"/>
        <v>#DIV/0!</v>
      </c>
      <c r="R134" s="64" t="e">
        <f t="shared" si="33"/>
        <v>#DIV/0!</v>
      </c>
    </row>
    <row r="135" spans="1:18" x14ac:dyDescent="0.2">
      <c r="A135" s="62">
        <f t="shared" si="34"/>
        <v>5.4000000000000006E-2</v>
      </c>
      <c r="B135" s="62">
        <v>58</v>
      </c>
      <c r="C135" s="63">
        <f t="shared" si="18"/>
        <v>0</v>
      </c>
      <c r="D135">
        <f t="shared" si="19"/>
        <v>0</v>
      </c>
      <c r="E135">
        <f t="shared" si="20"/>
        <v>0</v>
      </c>
      <c r="F135" s="64">
        <f t="shared" si="21"/>
        <v>0</v>
      </c>
      <c r="G135" s="63">
        <f t="shared" si="22"/>
        <v>0</v>
      </c>
      <c r="H135">
        <f t="shared" si="23"/>
        <v>0</v>
      </c>
      <c r="I135">
        <f t="shared" si="24"/>
        <v>0</v>
      </c>
      <c r="J135" s="64">
        <f t="shared" si="25"/>
        <v>0</v>
      </c>
      <c r="K135" s="63">
        <f t="shared" si="26"/>
        <v>0</v>
      </c>
      <c r="L135">
        <f t="shared" si="27"/>
        <v>0</v>
      </c>
      <c r="M135">
        <f t="shared" si="28"/>
        <v>0</v>
      </c>
      <c r="N135" s="64">
        <f t="shared" si="29"/>
        <v>0</v>
      </c>
      <c r="O135" s="63">
        <f t="shared" si="30"/>
        <v>0</v>
      </c>
      <c r="P135">
        <f t="shared" si="31"/>
        <v>0</v>
      </c>
      <c r="Q135" t="e">
        <f t="shared" si="32"/>
        <v>#DIV/0!</v>
      </c>
      <c r="R135" s="64" t="e">
        <f t="shared" si="33"/>
        <v>#DIV/0!</v>
      </c>
    </row>
    <row r="136" spans="1:18" x14ac:dyDescent="0.2">
      <c r="A136" s="62">
        <f t="shared" si="34"/>
        <v>5.4500000000000007E-2</v>
      </c>
      <c r="B136" s="62">
        <v>59</v>
      </c>
      <c r="C136" s="63">
        <f t="shared" si="18"/>
        <v>0</v>
      </c>
      <c r="D136">
        <f t="shared" si="19"/>
        <v>0</v>
      </c>
      <c r="E136">
        <f t="shared" si="20"/>
        <v>0</v>
      </c>
      <c r="F136" s="64">
        <f t="shared" si="21"/>
        <v>0</v>
      </c>
      <c r="G136" s="63">
        <f t="shared" si="22"/>
        <v>0</v>
      </c>
      <c r="H136">
        <f t="shared" si="23"/>
        <v>0</v>
      </c>
      <c r="I136">
        <f t="shared" si="24"/>
        <v>0</v>
      </c>
      <c r="J136" s="64">
        <f t="shared" si="25"/>
        <v>0</v>
      </c>
      <c r="K136" s="63">
        <f t="shared" si="26"/>
        <v>0</v>
      </c>
      <c r="L136">
        <f t="shared" si="27"/>
        <v>0</v>
      </c>
      <c r="M136">
        <f t="shared" si="28"/>
        <v>0</v>
      </c>
      <c r="N136" s="64">
        <f t="shared" si="29"/>
        <v>0</v>
      </c>
      <c r="O136" s="63">
        <f t="shared" si="30"/>
        <v>0</v>
      </c>
      <c r="P136">
        <f t="shared" si="31"/>
        <v>0</v>
      </c>
      <c r="Q136" t="e">
        <f t="shared" si="32"/>
        <v>#DIV/0!</v>
      </c>
      <c r="R136" s="64" t="e">
        <f t="shared" si="33"/>
        <v>#DIV/0!</v>
      </c>
    </row>
    <row r="137" spans="1:18" ht="16" thickBot="1" x14ac:dyDescent="0.25">
      <c r="A137" s="62">
        <f t="shared" si="34"/>
        <v>5.5000000000000007E-2</v>
      </c>
      <c r="B137" s="65">
        <v>60</v>
      </c>
      <c r="C137" s="66">
        <f t="shared" si="18"/>
        <v>0</v>
      </c>
      <c r="D137">
        <f t="shared" si="19"/>
        <v>0</v>
      </c>
      <c r="E137" s="67">
        <f t="shared" si="20"/>
        <v>0</v>
      </c>
      <c r="F137" s="68">
        <f t="shared" si="21"/>
        <v>0</v>
      </c>
      <c r="G137" s="66">
        <f t="shared" si="22"/>
        <v>0</v>
      </c>
      <c r="H137">
        <f t="shared" si="23"/>
        <v>0</v>
      </c>
      <c r="I137" s="67">
        <f t="shared" si="24"/>
        <v>0</v>
      </c>
      <c r="J137" s="68">
        <f t="shared" si="25"/>
        <v>0</v>
      </c>
      <c r="K137" s="63">
        <f t="shared" si="26"/>
        <v>0</v>
      </c>
      <c r="L137">
        <f t="shared" si="27"/>
        <v>0</v>
      </c>
      <c r="M137">
        <f t="shared" si="28"/>
        <v>0</v>
      </c>
      <c r="N137" s="64">
        <f t="shared" si="29"/>
        <v>0</v>
      </c>
      <c r="O137" s="63">
        <f t="shared" si="30"/>
        <v>0</v>
      </c>
      <c r="P137">
        <f t="shared" si="31"/>
        <v>0</v>
      </c>
      <c r="Q137" t="e">
        <f t="shared" si="32"/>
        <v>#DIV/0!</v>
      </c>
      <c r="R137" s="64" t="e">
        <f t="shared" si="33"/>
        <v>#DIV/0!</v>
      </c>
    </row>
    <row r="138" spans="1:18" ht="16" thickBot="1" x14ac:dyDescent="0.25"/>
    <row r="139" spans="1:18" s="57" customFormat="1" ht="16" x14ac:dyDescent="0.2">
      <c r="A139" s="53"/>
      <c r="B139" s="53"/>
      <c r="C139" s="54" t="s">
        <v>188</v>
      </c>
      <c r="D139" s="55"/>
      <c r="E139" s="55"/>
      <c r="F139" s="56"/>
      <c r="G139" s="54" t="s">
        <v>189</v>
      </c>
      <c r="H139" s="55"/>
      <c r="I139" s="55"/>
      <c r="J139" s="56"/>
      <c r="K139" s="54" t="s">
        <v>190</v>
      </c>
      <c r="L139" s="55"/>
      <c r="M139" s="55"/>
      <c r="N139" s="56"/>
      <c r="O139" s="54" t="s">
        <v>191</v>
      </c>
      <c r="P139" s="55"/>
      <c r="Q139" s="55"/>
      <c r="R139" s="56"/>
    </row>
    <row r="140" spans="1:18" ht="16" x14ac:dyDescent="0.2">
      <c r="A140" s="75" t="s">
        <v>36</v>
      </c>
      <c r="B140" s="58" t="s">
        <v>67</v>
      </c>
      <c r="C140" s="59" t="s">
        <v>194</v>
      </c>
      <c r="D140" s="60" t="s">
        <v>195</v>
      </c>
      <c r="E140" s="60" t="s">
        <v>71</v>
      </c>
      <c r="F140" s="61" t="s">
        <v>196</v>
      </c>
      <c r="G140" s="59" t="s">
        <v>194</v>
      </c>
      <c r="H140" s="60" t="s">
        <v>195</v>
      </c>
      <c r="I140" s="60" t="s">
        <v>71</v>
      </c>
      <c r="J140" s="61" t="s">
        <v>196</v>
      </c>
      <c r="K140" s="59" t="s">
        <v>194</v>
      </c>
      <c r="L140" s="60" t="s">
        <v>195</v>
      </c>
      <c r="M140" s="60" t="s">
        <v>71</v>
      </c>
      <c r="N140" s="61" t="s">
        <v>196</v>
      </c>
      <c r="O140" s="59" t="s">
        <v>194</v>
      </c>
      <c r="P140" s="60" t="s">
        <v>195</v>
      </c>
      <c r="Q140" s="60" t="s">
        <v>71</v>
      </c>
      <c r="R140" s="61" t="s">
        <v>196</v>
      </c>
    </row>
    <row r="141" spans="1:18" x14ac:dyDescent="0.2">
      <c r="A141" s="62">
        <f>0.04-0.00025*(B141-1)</f>
        <v>0.04</v>
      </c>
      <c r="B141" s="62">
        <v>1</v>
      </c>
      <c r="C141" s="63">
        <f>IF(B141=2*$B$3, $B$6 + $B$4/2*$B$6, IF(B141&gt;2*$B$3,0, $B$4/2*$B$6))</f>
        <v>45</v>
      </c>
      <c r="D141">
        <f>C141/(1+A141)^B141</f>
        <v>43.269230769230766</v>
      </c>
      <c r="E141">
        <f>D141/SUM($D$15:$D$74)</f>
        <v>4.0486225621527573E-2</v>
      </c>
      <c r="F141" s="64">
        <f>E141*B141</f>
        <v>4.0486225621527573E-2</v>
      </c>
      <c r="G141" s="63">
        <f>IF(B141=2*$C$3, $C$6 + $C$4/2*$C$6, IF(B141&gt;2*$C$3,0, $C$4/2*$C$6))</f>
        <v>45</v>
      </c>
      <c r="H141">
        <f>G141/(1+A141)^$B141</f>
        <v>43.269230769230766</v>
      </c>
      <c r="I141">
        <f>H141/SUM($H$15:$H$74)</f>
        <v>3.5048409716417983E-2</v>
      </c>
      <c r="J141" s="64">
        <f>I141*B141</f>
        <v>3.5048409716417983E-2</v>
      </c>
      <c r="K141" s="63">
        <f>IF(B141=2*$D$3, $D$6 + $D$4/2*$D$6, IF(B141&gt;2*$D$3,0, $D$4/2*$D$6))</f>
        <v>20</v>
      </c>
      <c r="L141">
        <f>K141/(1+A141)^B141</f>
        <v>19.23076923076923</v>
      </c>
      <c r="M141">
        <f>L141/SUM($L$15:$L$74)</f>
        <v>2.9669524757487728E-2</v>
      </c>
      <c r="N141" s="64">
        <f>M141*B141</f>
        <v>2.9669524757487728E-2</v>
      </c>
      <c r="O141" s="63">
        <f>IF(B141=2*$E$3, $E$6 + $E$4/2*$E$6, IF(B141&gt;2*$E$3,0, $E$4/2*$E$6))</f>
        <v>0</v>
      </c>
      <c r="P141">
        <f>O141/(1+A141)^B141</f>
        <v>0</v>
      </c>
      <c r="Q141" t="e">
        <f>P141/SUM($P$15:$P$74)</f>
        <v>#DIV/0!</v>
      </c>
      <c r="R141" s="64" t="e">
        <f>Q141*B141</f>
        <v>#DIV/0!</v>
      </c>
    </row>
    <row r="142" spans="1:18" x14ac:dyDescent="0.2">
      <c r="A142" s="62">
        <f t="shared" ref="A142:A200" si="35">0.04-0.00025*(B142-1)</f>
        <v>3.9750000000000001E-2</v>
      </c>
      <c r="B142" s="62">
        <v>2</v>
      </c>
      <c r="C142" s="63">
        <f t="shared" ref="C142:C200" si="36">IF(B142=2*$B$3, $B$6 + $B$4/2*$B$6, IF(B142&gt;2*$B$3,0, $B$4/2*$B$6))</f>
        <v>45</v>
      </c>
      <c r="D142">
        <f t="shared" ref="D142:D200" si="37">C142/(1+A142)^B142</f>
        <v>41.625039218591645</v>
      </c>
      <c r="E142">
        <f t="shared" ref="E142:E200" si="38">D142/SUM($D$15:$D$74)</f>
        <v>3.8947785744026416E-2</v>
      </c>
      <c r="F142" s="64">
        <f t="shared" ref="F142:F200" si="39">E142*B142</f>
        <v>7.7895571488052831E-2</v>
      </c>
      <c r="G142" s="63">
        <f t="shared" ref="G142:G200" si="40">IF(B142=2*$C$3, $C$6 + $C$4/2*$C$6, IF(B142&gt;2*$C$3,0, $C$4/2*$C$6))</f>
        <v>45</v>
      </c>
      <c r="H142">
        <f t="shared" ref="H142:H200" si="41">G142/(1+A142)^$B142</f>
        <v>41.625039218591645</v>
      </c>
      <c r="I142">
        <f t="shared" ref="I142:I200" si="42">H142/SUM($H$15:$H$74)</f>
        <v>3.3716601914554972E-2</v>
      </c>
      <c r="J142" s="64">
        <f t="shared" ref="J142:J200" si="43">I142*B142</f>
        <v>6.7433203829109944E-2</v>
      </c>
      <c r="K142" s="63">
        <f t="shared" ref="K142:K200" si="44">IF(B142=2*$D$3, $D$6 + $D$4/2*$D$6, IF(B142&gt;2*$D$3,0, $D$4/2*$D$6))</f>
        <v>20</v>
      </c>
      <c r="L142">
        <f t="shared" ref="L142:L200" si="45">K142/(1+A142)^B142</f>
        <v>18.500017430485176</v>
      </c>
      <c r="M142">
        <f t="shared" ref="M142:M200" si="46">L142/SUM($L$15:$L$74)</f>
        <v>2.8542109708722192E-2</v>
      </c>
      <c r="N142" s="64">
        <f t="shared" ref="N142:N200" si="47">M142*B142</f>
        <v>5.7084219417444383E-2</v>
      </c>
      <c r="O142" s="63">
        <f t="shared" ref="O142:O200" si="48">IF(B142=2*$E$3, $E$6 + $E$4/2*$E$6, IF(B142&gt;2*$E$3,0, $E$4/2*$E$6))</f>
        <v>0</v>
      </c>
      <c r="P142">
        <f t="shared" ref="P142:P200" si="49">O142/(1+A142)^B142</f>
        <v>0</v>
      </c>
      <c r="Q142" t="e">
        <f t="shared" ref="Q142:Q200" si="50">P142/SUM($P$15:$P$74)</f>
        <v>#DIV/0!</v>
      </c>
      <c r="R142" s="64" t="e">
        <f t="shared" ref="R142:R200" si="51">Q142*B142</f>
        <v>#DIV/0!</v>
      </c>
    </row>
    <row r="143" spans="1:18" x14ac:dyDescent="0.2">
      <c r="A143" s="62">
        <f t="shared" si="35"/>
        <v>3.95E-2</v>
      </c>
      <c r="B143" s="62">
        <v>3</v>
      </c>
      <c r="C143" s="63">
        <f t="shared" si="36"/>
        <v>45</v>
      </c>
      <c r="D143">
        <f t="shared" si="37"/>
        <v>40.062590947652637</v>
      </c>
      <c r="E143">
        <f t="shared" si="38"/>
        <v>3.7485831554071522E-2</v>
      </c>
      <c r="F143" s="64">
        <f t="shared" si="39"/>
        <v>0.11245749466221457</v>
      </c>
      <c r="G143" s="63">
        <f t="shared" si="40"/>
        <v>45</v>
      </c>
      <c r="H143">
        <f t="shared" si="41"/>
        <v>40.062590947652637</v>
      </c>
      <c r="I143">
        <f t="shared" si="42"/>
        <v>3.2451006797954922E-2</v>
      </c>
      <c r="J143" s="64">
        <f t="shared" si="43"/>
        <v>9.7353020393864759E-2</v>
      </c>
      <c r="K143" s="63">
        <f t="shared" si="44"/>
        <v>20</v>
      </c>
      <c r="L143">
        <f t="shared" si="45"/>
        <v>17.805595976734505</v>
      </c>
      <c r="M143">
        <f t="shared" si="46"/>
        <v>2.7470745673984512E-2</v>
      </c>
      <c r="N143" s="64">
        <f t="shared" si="47"/>
        <v>8.2412237021953536E-2</v>
      </c>
      <c r="O143" s="63">
        <f t="shared" si="48"/>
        <v>0</v>
      </c>
      <c r="P143">
        <f t="shared" si="49"/>
        <v>0</v>
      </c>
      <c r="Q143" t="e">
        <f t="shared" si="50"/>
        <v>#DIV/0!</v>
      </c>
      <c r="R143" s="64" t="e">
        <f t="shared" si="51"/>
        <v>#DIV/0!</v>
      </c>
    </row>
    <row r="144" spans="1:18" x14ac:dyDescent="0.2">
      <c r="A144" s="62">
        <f t="shared" si="35"/>
        <v>3.925E-2</v>
      </c>
      <c r="B144" s="62">
        <v>4</v>
      </c>
      <c r="C144" s="63">
        <f t="shared" si="36"/>
        <v>45</v>
      </c>
      <c r="D144">
        <f t="shared" si="37"/>
        <v>38.577349093010348</v>
      </c>
      <c r="E144">
        <f t="shared" si="38"/>
        <v>3.6096117991787802E-2</v>
      </c>
      <c r="F144" s="64">
        <f t="shared" si="39"/>
        <v>0.14438447196715121</v>
      </c>
      <c r="G144" s="63">
        <f t="shared" si="40"/>
        <v>45</v>
      </c>
      <c r="H144">
        <f t="shared" si="41"/>
        <v>38.577349093010348</v>
      </c>
      <c r="I144">
        <f t="shared" si="42"/>
        <v>3.1247949472367042E-2</v>
      </c>
      <c r="J144" s="64">
        <f t="shared" si="43"/>
        <v>0.12499179788946817</v>
      </c>
      <c r="K144" s="63">
        <f t="shared" si="44"/>
        <v>20</v>
      </c>
      <c r="L144">
        <f t="shared" si="45"/>
        <v>17.145488485782376</v>
      </c>
      <c r="M144">
        <f t="shared" si="46"/>
        <v>2.6452321745623335E-2</v>
      </c>
      <c r="N144" s="64">
        <f t="shared" si="47"/>
        <v>0.10580928698249334</v>
      </c>
      <c r="O144" s="63">
        <f t="shared" si="48"/>
        <v>0</v>
      </c>
      <c r="P144">
        <f t="shared" si="49"/>
        <v>0</v>
      </c>
      <c r="Q144" t="e">
        <f t="shared" si="50"/>
        <v>#DIV/0!</v>
      </c>
      <c r="R144" s="64" t="e">
        <f t="shared" si="51"/>
        <v>#DIV/0!</v>
      </c>
    </row>
    <row r="145" spans="1:18" x14ac:dyDescent="0.2">
      <c r="A145" s="62">
        <f t="shared" si="35"/>
        <v>3.9E-2</v>
      </c>
      <c r="B145" s="62">
        <v>5</v>
      </c>
      <c r="C145" s="63">
        <f t="shared" si="36"/>
        <v>45</v>
      </c>
      <c r="D145">
        <f t="shared" si="37"/>
        <v>37.16505467003811</v>
      </c>
      <c r="E145">
        <f t="shared" si="38"/>
        <v>3.4774660003374952E-2</v>
      </c>
      <c r="F145" s="64">
        <f t="shared" si="39"/>
        <v>0.17387330001687476</v>
      </c>
      <c r="G145" s="63">
        <f t="shared" si="40"/>
        <v>45</v>
      </c>
      <c r="H145">
        <f t="shared" si="41"/>
        <v>37.16505467003811</v>
      </c>
      <c r="I145">
        <f t="shared" si="42"/>
        <v>3.0103980127486933E-2</v>
      </c>
      <c r="J145" s="64">
        <f t="shared" si="43"/>
        <v>0.15051990063743467</v>
      </c>
      <c r="K145" s="63">
        <f t="shared" si="44"/>
        <v>20</v>
      </c>
      <c r="L145">
        <f t="shared" si="45"/>
        <v>16.51780207557249</v>
      </c>
      <c r="M145">
        <f t="shared" si="46"/>
        <v>2.548391755626497E-2</v>
      </c>
      <c r="N145" s="64">
        <f t="shared" si="47"/>
        <v>0.12741958778132484</v>
      </c>
      <c r="O145" s="63">
        <f t="shared" si="48"/>
        <v>0</v>
      </c>
      <c r="P145">
        <f t="shared" si="49"/>
        <v>0</v>
      </c>
      <c r="Q145" t="e">
        <f t="shared" si="50"/>
        <v>#DIV/0!</v>
      </c>
      <c r="R145" s="64" t="e">
        <f t="shared" si="51"/>
        <v>#DIV/0!</v>
      </c>
    </row>
    <row r="146" spans="1:18" x14ac:dyDescent="0.2">
      <c r="A146" s="62">
        <f t="shared" si="35"/>
        <v>3.875E-2</v>
      </c>
      <c r="B146" s="62">
        <v>6</v>
      </c>
      <c r="C146" s="63">
        <f t="shared" si="36"/>
        <v>45</v>
      </c>
      <c r="D146">
        <f t="shared" si="37"/>
        <v>35.821708296986358</v>
      </c>
      <c r="E146">
        <f t="shared" si="38"/>
        <v>3.3517715440683327E-2</v>
      </c>
      <c r="F146" s="64">
        <f t="shared" si="39"/>
        <v>0.20110629264409996</v>
      </c>
      <c r="G146" s="63">
        <f t="shared" si="40"/>
        <v>45</v>
      </c>
      <c r="H146">
        <f t="shared" si="41"/>
        <v>35.821708296986358</v>
      </c>
      <c r="I146">
        <f t="shared" si="42"/>
        <v>2.9015859233337309E-2</v>
      </c>
      <c r="J146" s="64">
        <f t="shared" si="43"/>
        <v>0.17409515540002385</v>
      </c>
      <c r="K146" s="63">
        <f t="shared" si="44"/>
        <v>20</v>
      </c>
      <c r="L146">
        <f t="shared" si="45"/>
        <v>15.920759243105049</v>
      </c>
      <c r="M146">
        <f t="shared" si="46"/>
        <v>2.4562790747107956E-2</v>
      </c>
      <c r="N146" s="64">
        <f t="shared" si="47"/>
        <v>0.14737674448264773</v>
      </c>
      <c r="O146" s="63">
        <f t="shared" si="48"/>
        <v>0</v>
      </c>
      <c r="P146">
        <f t="shared" si="49"/>
        <v>0</v>
      </c>
      <c r="Q146" t="e">
        <f t="shared" si="50"/>
        <v>#DIV/0!</v>
      </c>
      <c r="R146" s="64" t="e">
        <f t="shared" si="51"/>
        <v>#DIV/0!</v>
      </c>
    </row>
    <row r="147" spans="1:18" x14ac:dyDescent="0.2">
      <c r="A147" s="62">
        <f t="shared" si="35"/>
        <v>3.85E-2</v>
      </c>
      <c r="B147" s="62">
        <v>7</v>
      </c>
      <c r="C147" s="63">
        <f t="shared" si="36"/>
        <v>45</v>
      </c>
      <c r="D147">
        <f t="shared" si="37"/>
        <v>34.543553199036793</v>
      </c>
      <c r="E147">
        <f t="shared" si="38"/>
        <v>3.232176915841916E-2</v>
      </c>
      <c r="F147" s="64">
        <f t="shared" si="39"/>
        <v>0.22625238410893411</v>
      </c>
      <c r="G147" s="63">
        <f t="shared" si="40"/>
        <v>45</v>
      </c>
      <c r="H147">
        <f t="shared" si="41"/>
        <v>34.543553199036793</v>
      </c>
      <c r="I147">
        <f t="shared" si="42"/>
        <v>2.7980543773421147E-2</v>
      </c>
      <c r="J147" s="64">
        <f t="shared" si="43"/>
        <v>0.19586380641394802</v>
      </c>
      <c r="K147" s="63">
        <f t="shared" si="44"/>
        <v>20</v>
      </c>
      <c r="L147">
        <f t="shared" si="45"/>
        <v>15.352690310683018</v>
      </c>
      <c r="M147">
        <f t="shared" si="46"/>
        <v>2.3686365313876294E-2</v>
      </c>
      <c r="N147" s="64">
        <f t="shared" si="47"/>
        <v>0.16580455719713405</v>
      </c>
      <c r="O147" s="63">
        <f t="shared" si="48"/>
        <v>0</v>
      </c>
      <c r="P147">
        <f t="shared" si="49"/>
        <v>0</v>
      </c>
      <c r="Q147" t="e">
        <f t="shared" si="50"/>
        <v>#DIV/0!</v>
      </c>
      <c r="R147" s="64" t="e">
        <f t="shared" si="51"/>
        <v>#DIV/0!</v>
      </c>
    </row>
    <row r="148" spans="1:18" x14ac:dyDescent="0.2">
      <c r="A148" s="62">
        <f t="shared" si="35"/>
        <v>3.8249999999999999E-2</v>
      </c>
      <c r="B148" s="62">
        <v>8</v>
      </c>
      <c r="C148" s="63">
        <f t="shared" si="36"/>
        <v>1045</v>
      </c>
      <c r="D148">
        <f t="shared" si="37"/>
        <v>773.92837935028456</v>
      </c>
      <c r="E148">
        <f t="shared" si="38"/>
        <v>0.7241505897895546</v>
      </c>
      <c r="F148" s="64">
        <f t="shared" si="39"/>
        <v>5.7932047183164368</v>
      </c>
      <c r="G148" s="63">
        <f t="shared" si="40"/>
        <v>45</v>
      </c>
      <c r="H148">
        <f t="shared" si="41"/>
        <v>33.327059397859145</v>
      </c>
      <c r="I148">
        <f t="shared" si="42"/>
        <v>2.6995174438141076E-2</v>
      </c>
      <c r="J148" s="64">
        <f t="shared" si="43"/>
        <v>0.21596139550512861</v>
      </c>
      <c r="K148" s="63">
        <f t="shared" si="44"/>
        <v>20</v>
      </c>
      <c r="L148">
        <f t="shared" si="45"/>
        <v>14.812026399048507</v>
      </c>
      <c r="M148">
        <f t="shared" si="46"/>
        <v>2.2852220765666838E-2</v>
      </c>
      <c r="N148" s="64">
        <f t="shared" si="47"/>
        <v>0.18281776612533471</v>
      </c>
      <c r="O148" s="63">
        <f t="shared" si="48"/>
        <v>0</v>
      </c>
      <c r="P148">
        <f t="shared" si="49"/>
        <v>0</v>
      </c>
      <c r="Q148" t="e">
        <f t="shared" si="50"/>
        <v>#DIV/0!</v>
      </c>
      <c r="R148" s="64" t="e">
        <f t="shared" si="51"/>
        <v>#DIV/0!</v>
      </c>
    </row>
    <row r="149" spans="1:18" x14ac:dyDescent="0.2">
      <c r="A149" s="62">
        <f t="shared" si="35"/>
        <v>3.7999999999999999E-2</v>
      </c>
      <c r="B149" s="62">
        <v>9</v>
      </c>
      <c r="C149" s="63">
        <f t="shared" si="36"/>
        <v>0</v>
      </c>
      <c r="D149">
        <f t="shared" si="37"/>
        <v>0</v>
      </c>
      <c r="E149">
        <f t="shared" si="38"/>
        <v>0</v>
      </c>
      <c r="F149" s="64">
        <f t="shared" si="39"/>
        <v>0</v>
      </c>
      <c r="G149" s="63">
        <f t="shared" si="40"/>
        <v>45</v>
      </c>
      <c r="H149">
        <f t="shared" si="41"/>
        <v>32.16890899952633</v>
      </c>
      <c r="I149">
        <f t="shared" si="42"/>
        <v>2.6057063707897492E-2</v>
      </c>
      <c r="J149" s="64">
        <f t="shared" si="43"/>
        <v>0.23451357337107742</v>
      </c>
      <c r="K149" s="63">
        <f t="shared" si="44"/>
        <v>20</v>
      </c>
      <c r="L149">
        <f t="shared" si="45"/>
        <v>14.297292888678369</v>
      </c>
      <c r="M149">
        <f t="shared" si="46"/>
        <v>2.20580820369362E-2</v>
      </c>
      <c r="N149" s="64">
        <f t="shared" si="47"/>
        <v>0.19852273833242581</v>
      </c>
      <c r="O149" s="63">
        <f t="shared" si="48"/>
        <v>0</v>
      </c>
      <c r="P149">
        <f t="shared" si="49"/>
        <v>0</v>
      </c>
      <c r="Q149" t="e">
        <f t="shared" si="50"/>
        <v>#DIV/0!</v>
      </c>
      <c r="R149" s="64" t="e">
        <f t="shared" si="51"/>
        <v>#DIV/0!</v>
      </c>
    </row>
    <row r="150" spans="1:18" x14ac:dyDescent="0.2">
      <c r="A150" s="62">
        <f t="shared" si="35"/>
        <v>3.7749999999999999E-2</v>
      </c>
      <c r="B150" s="62">
        <v>10</v>
      </c>
      <c r="C150" s="63">
        <f t="shared" si="36"/>
        <v>0</v>
      </c>
      <c r="D150">
        <f t="shared" si="37"/>
        <v>0</v>
      </c>
      <c r="E150">
        <f t="shared" si="38"/>
        <v>0</v>
      </c>
      <c r="F150" s="64">
        <f t="shared" si="39"/>
        <v>0</v>
      </c>
      <c r="G150" s="63">
        <f t="shared" si="40"/>
        <v>45</v>
      </c>
      <c r="H150">
        <f t="shared" si="41"/>
        <v>31.065982500356064</v>
      </c>
      <c r="I150">
        <f t="shared" si="42"/>
        <v>2.5163684760714945E-2</v>
      </c>
      <c r="J150" s="64">
        <f t="shared" si="43"/>
        <v>0.25163684760714944</v>
      </c>
      <c r="K150" s="63">
        <f t="shared" si="44"/>
        <v>20</v>
      </c>
      <c r="L150">
        <f t="shared" si="45"/>
        <v>13.807103333491584</v>
      </c>
      <c r="M150">
        <f t="shared" si="46"/>
        <v>2.1301810097475435E-2</v>
      </c>
      <c r="N150" s="64">
        <f t="shared" si="47"/>
        <v>0.21301810097475435</v>
      </c>
      <c r="O150" s="63">
        <f t="shared" si="48"/>
        <v>0</v>
      </c>
      <c r="P150">
        <f t="shared" si="49"/>
        <v>0</v>
      </c>
      <c r="Q150" t="e">
        <f t="shared" si="50"/>
        <v>#DIV/0!</v>
      </c>
      <c r="R150" s="64" t="e">
        <f t="shared" si="51"/>
        <v>#DIV/0!</v>
      </c>
    </row>
    <row r="151" spans="1:18" x14ac:dyDescent="0.2">
      <c r="A151" s="62">
        <f t="shared" si="35"/>
        <v>3.7499999999999999E-2</v>
      </c>
      <c r="B151" s="62">
        <v>11</v>
      </c>
      <c r="C151" s="63">
        <f t="shared" si="36"/>
        <v>0</v>
      </c>
      <c r="D151">
        <f t="shared" si="37"/>
        <v>0</v>
      </c>
      <c r="E151">
        <f t="shared" si="38"/>
        <v>0</v>
      </c>
      <c r="F151" s="64">
        <f t="shared" si="39"/>
        <v>0</v>
      </c>
      <c r="G151" s="63">
        <f t="shared" si="40"/>
        <v>45</v>
      </c>
      <c r="H151">
        <f t="shared" si="41"/>
        <v>30.015346036424404</v>
      </c>
      <c r="I151">
        <f t="shared" si="42"/>
        <v>2.4312661144250038E-2</v>
      </c>
      <c r="J151" s="64">
        <f t="shared" si="43"/>
        <v>0.26743927258675043</v>
      </c>
      <c r="K151" s="63">
        <f t="shared" si="44"/>
        <v>20</v>
      </c>
      <c r="L151">
        <f t="shared" si="45"/>
        <v>13.340153793966401</v>
      </c>
      <c r="M151">
        <f t="shared" si="46"/>
        <v>2.058139320945656E-2</v>
      </c>
      <c r="N151" s="64">
        <f t="shared" si="47"/>
        <v>0.22639532530402215</v>
      </c>
      <c r="O151" s="63">
        <f t="shared" si="48"/>
        <v>0</v>
      </c>
      <c r="P151">
        <f t="shared" si="49"/>
        <v>0</v>
      </c>
      <c r="Q151" t="e">
        <f t="shared" si="50"/>
        <v>#DIV/0!</v>
      </c>
      <c r="R151" s="64" t="e">
        <f t="shared" si="51"/>
        <v>#DIV/0!</v>
      </c>
    </row>
    <row r="152" spans="1:18" x14ac:dyDescent="0.2">
      <c r="A152" s="62">
        <f t="shared" si="35"/>
        <v>3.7249999999999998E-2</v>
      </c>
      <c r="B152" s="62">
        <v>12</v>
      </c>
      <c r="C152" s="63">
        <f t="shared" si="36"/>
        <v>0</v>
      </c>
      <c r="D152">
        <f t="shared" si="37"/>
        <v>0</v>
      </c>
      <c r="E152">
        <f t="shared" si="38"/>
        <v>0</v>
      </c>
      <c r="F152" s="64">
        <f t="shared" si="39"/>
        <v>0</v>
      </c>
      <c r="G152" s="63">
        <f t="shared" si="40"/>
        <v>45</v>
      </c>
      <c r="H152">
        <f t="shared" si="41"/>
        <v>29.014239508179198</v>
      </c>
      <c r="I152">
        <f t="shared" si="42"/>
        <v>2.3501757156636983E-2</v>
      </c>
      <c r="J152" s="64">
        <f t="shared" si="43"/>
        <v>0.28202108587964381</v>
      </c>
      <c r="K152" s="63">
        <f t="shared" si="44"/>
        <v>20</v>
      </c>
      <c r="L152">
        <f t="shared" si="45"/>
        <v>12.895217559190755</v>
      </c>
      <c r="M152">
        <f t="shared" si="46"/>
        <v>1.9894938784531233E-2</v>
      </c>
      <c r="N152" s="64">
        <f t="shared" si="47"/>
        <v>0.23873926541437479</v>
      </c>
      <c r="O152" s="63">
        <f t="shared" si="48"/>
        <v>0</v>
      </c>
      <c r="P152">
        <f t="shared" si="49"/>
        <v>0</v>
      </c>
      <c r="Q152" t="e">
        <f t="shared" si="50"/>
        <v>#DIV/0!</v>
      </c>
      <c r="R152" s="64" t="e">
        <f t="shared" si="51"/>
        <v>#DIV/0!</v>
      </c>
    </row>
    <row r="153" spans="1:18" x14ac:dyDescent="0.2">
      <c r="A153" s="62">
        <f t="shared" si="35"/>
        <v>3.6999999999999998E-2</v>
      </c>
      <c r="B153" s="62">
        <v>13</v>
      </c>
      <c r="C153" s="63">
        <f t="shared" si="36"/>
        <v>0</v>
      </c>
      <c r="D153">
        <f t="shared" si="37"/>
        <v>0</v>
      </c>
      <c r="E153">
        <f t="shared" si="38"/>
        <v>0</v>
      </c>
      <c r="F153" s="64">
        <f t="shared" si="39"/>
        <v>0</v>
      </c>
      <c r="G153" s="63">
        <f t="shared" si="40"/>
        <v>45</v>
      </c>
      <c r="H153">
        <f t="shared" si="41"/>
        <v>28.060065516807384</v>
      </c>
      <c r="I153">
        <f t="shared" si="42"/>
        <v>2.2728868884860021E-2</v>
      </c>
      <c r="J153" s="64">
        <f t="shared" si="43"/>
        <v>0.2954752955031803</v>
      </c>
      <c r="K153" s="63">
        <f t="shared" si="44"/>
        <v>20</v>
      </c>
      <c r="L153">
        <f t="shared" si="45"/>
        <v>12.471140229692171</v>
      </c>
      <c r="M153">
        <f t="shared" si="46"/>
        <v>1.9240665797545561E-2</v>
      </c>
      <c r="N153" s="64">
        <f t="shared" si="47"/>
        <v>0.25012865536809231</v>
      </c>
      <c r="O153" s="63">
        <f t="shared" si="48"/>
        <v>0</v>
      </c>
      <c r="P153">
        <f t="shared" si="49"/>
        <v>0</v>
      </c>
      <c r="Q153" t="e">
        <f t="shared" si="50"/>
        <v>#DIV/0!</v>
      </c>
      <c r="R153" s="64" t="e">
        <f t="shared" si="51"/>
        <v>#DIV/0!</v>
      </c>
    </row>
    <row r="154" spans="1:18" x14ac:dyDescent="0.2">
      <c r="A154" s="62">
        <f t="shared" si="35"/>
        <v>3.6749999999999998E-2</v>
      </c>
      <c r="B154" s="62">
        <v>14</v>
      </c>
      <c r="C154" s="63">
        <f t="shared" si="36"/>
        <v>0</v>
      </c>
      <c r="D154">
        <f t="shared" si="37"/>
        <v>0</v>
      </c>
      <c r="E154">
        <f t="shared" si="38"/>
        <v>0</v>
      </c>
      <c r="F154" s="64">
        <f t="shared" si="39"/>
        <v>0</v>
      </c>
      <c r="G154" s="63">
        <f t="shared" si="40"/>
        <v>45</v>
      </c>
      <c r="H154">
        <f t="shared" si="41"/>
        <v>27.150379053825887</v>
      </c>
      <c r="I154">
        <f t="shared" si="42"/>
        <v>2.1992015853242761E-2</v>
      </c>
      <c r="J154" s="64">
        <f t="shared" si="43"/>
        <v>0.30788822194539867</v>
      </c>
      <c r="K154" s="63">
        <f t="shared" si="44"/>
        <v>20</v>
      </c>
      <c r="L154">
        <f t="shared" si="45"/>
        <v>12.066835135033728</v>
      </c>
      <c r="M154">
        <f t="shared" si="46"/>
        <v>1.8616897716737111E-2</v>
      </c>
      <c r="N154" s="64">
        <f t="shared" si="47"/>
        <v>0.26063656803431956</v>
      </c>
      <c r="O154" s="63">
        <f t="shared" si="48"/>
        <v>0</v>
      </c>
      <c r="P154">
        <f t="shared" si="49"/>
        <v>0</v>
      </c>
      <c r="Q154" t="e">
        <f t="shared" si="50"/>
        <v>#DIV/0!</v>
      </c>
      <c r="R154" s="64" t="e">
        <f t="shared" si="51"/>
        <v>#DIV/0!</v>
      </c>
    </row>
    <row r="155" spans="1:18" x14ac:dyDescent="0.2">
      <c r="A155" s="62">
        <f t="shared" si="35"/>
        <v>3.6499999999999998E-2</v>
      </c>
      <c r="B155" s="62">
        <v>15</v>
      </c>
      <c r="C155" s="63">
        <f t="shared" si="36"/>
        <v>0</v>
      </c>
      <c r="D155">
        <f t="shared" si="37"/>
        <v>0</v>
      </c>
      <c r="E155">
        <f t="shared" si="38"/>
        <v>0</v>
      </c>
      <c r="F155" s="64">
        <f t="shared" si="39"/>
        <v>0</v>
      </c>
      <c r="G155" s="63">
        <f t="shared" si="40"/>
        <v>45</v>
      </c>
      <c r="H155">
        <f t="shared" si="41"/>
        <v>26.282877889794872</v>
      </c>
      <c r="I155">
        <f t="shared" si="42"/>
        <v>2.1289333238231966E-2</v>
      </c>
      <c r="J155" s="64">
        <f t="shared" si="43"/>
        <v>0.3193399985734795</v>
      </c>
      <c r="K155" s="63">
        <f t="shared" si="44"/>
        <v>20</v>
      </c>
      <c r="L155">
        <f t="shared" si="45"/>
        <v>11.681279062131054</v>
      </c>
      <c r="M155">
        <f t="shared" si="46"/>
        <v>1.802205591331706E-2</v>
      </c>
      <c r="N155" s="64">
        <f t="shared" si="47"/>
        <v>0.27033083869975588</v>
      </c>
      <c r="O155" s="63">
        <f t="shared" si="48"/>
        <v>0</v>
      </c>
      <c r="P155">
        <f t="shared" si="49"/>
        <v>0</v>
      </c>
      <c r="Q155" t="e">
        <f t="shared" si="50"/>
        <v>#DIV/0!</v>
      </c>
      <c r="R155" s="64" t="e">
        <f t="shared" si="51"/>
        <v>#DIV/0!</v>
      </c>
    </row>
    <row r="156" spans="1:18" x14ac:dyDescent="0.2">
      <c r="A156" s="62">
        <f t="shared" si="35"/>
        <v>3.6250000000000004E-2</v>
      </c>
      <c r="B156" s="62">
        <v>16</v>
      </c>
      <c r="C156" s="63">
        <f t="shared" si="36"/>
        <v>0</v>
      </c>
      <c r="D156">
        <f t="shared" si="37"/>
        <v>0</v>
      </c>
      <c r="E156">
        <f t="shared" si="38"/>
        <v>0</v>
      </c>
      <c r="F156" s="64">
        <f t="shared" si="39"/>
        <v>0</v>
      </c>
      <c r="G156" s="63">
        <f t="shared" si="40"/>
        <v>45</v>
      </c>
      <c r="H156">
        <f t="shared" si="41"/>
        <v>25.455393612133502</v>
      </c>
      <c r="I156">
        <f t="shared" si="42"/>
        <v>2.0619064608959421E-2</v>
      </c>
      <c r="J156" s="64">
        <f t="shared" si="43"/>
        <v>0.32990503374335073</v>
      </c>
      <c r="K156" s="63">
        <f t="shared" si="44"/>
        <v>20</v>
      </c>
      <c r="L156">
        <f t="shared" si="45"/>
        <v>11.313508272059336</v>
      </c>
      <c r="M156">
        <f t="shared" si="46"/>
        <v>1.7454653516139149E-2</v>
      </c>
      <c r="N156" s="64">
        <f t="shared" si="47"/>
        <v>0.27927445625822639</v>
      </c>
      <c r="O156" s="63">
        <f t="shared" si="48"/>
        <v>0</v>
      </c>
      <c r="P156">
        <f t="shared" si="49"/>
        <v>0</v>
      </c>
      <c r="Q156" t="e">
        <f t="shared" si="50"/>
        <v>#DIV/0!</v>
      </c>
      <c r="R156" s="64" t="e">
        <f t="shared" si="51"/>
        <v>#DIV/0!</v>
      </c>
    </row>
    <row r="157" spans="1:18" x14ac:dyDescent="0.2">
      <c r="A157" s="62">
        <f t="shared" si="35"/>
        <v>3.6000000000000004E-2</v>
      </c>
      <c r="B157" s="62">
        <v>17</v>
      </c>
      <c r="C157" s="63">
        <f t="shared" si="36"/>
        <v>0</v>
      </c>
      <c r="D157">
        <f t="shared" si="37"/>
        <v>0</v>
      </c>
      <c r="E157">
        <f t="shared" si="38"/>
        <v>0</v>
      </c>
      <c r="F157" s="64">
        <f t="shared" si="39"/>
        <v>0</v>
      </c>
      <c r="G157" s="63">
        <f t="shared" si="40"/>
        <v>45</v>
      </c>
      <c r="H157">
        <f t="shared" si="41"/>
        <v>24.665883265781375</v>
      </c>
      <c r="I157">
        <f t="shared" si="42"/>
        <v>1.9979555156113365E-2</v>
      </c>
      <c r="J157" s="64">
        <f t="shared" si="43"/>
        <v>0.33965243765392722</v>
      </c>
      <c r="K157" s="63">
        <f t="shared" si="44"/>
        <v>20</v>
      </c>
      <c r="L157">
        <f t="shared" si="45"/>
        <v>10.962614784791723</v>
      </c>
      <c r="M157">
        <f t="shared" si="46"/>
        <v>1.6913289679737313E-2</v>
      </c>
      <c r="N157" s="64">
        <f t="shared" si="47"/>
        <v>0.28752592455553433</v>
      </c>
      <c r="O157" s="63">
        <f t="shared" si="48"/>
        <v>0</v>
      </c>
      <c r="P157">
        <f t="shared" si="49"/>
        <v>0</v>
      </c>
      <c r="Q157" t="e">
        <f t="shared" si="50"/>
        <v>#DIV/0!</v>
      </c>
      <c r="R157" s="64" t="e">
        <f t="shared" si="51"/>
        <v>#DIV/0!</v>
      </c>
    </row>
    <row r="158" spans="1:18" x14ac:dyDescent="0.2">
      <c r="A158" s="62">
        <f t="shared" si="35"/>
        <v>3.5750000000000004E-2</v>
      </c>
      <c r="B158" s="62">
        <v>18</v>
      </c>
      <c r="C158" s="63">
        <f t="shared" si="36"/>
        <v>0</v>
      </c>
      <c r="D158">
        <f t="shared" si="37"/>
        <v>0</v>
      </c>
      <c r="E158">
        <f t="shared" si="38"/>
        <v>0</v>
      </c>
      <c r="F158" s="64">
        <f t="shared" si="39"/>
        <v>0</v>
      </c>
      <c r="G158" s="63">
        <f t="shared" si="40"/>
        <v>45</v>
      </c>
      <c r="H158">
        <f t="shared" si="41"/>
        <v>23.912421553910214</v>
      </c>
      <c r="I158">
        <f t="shared" si="42"/>
        <v>1.9369245374455012E-2</v>
      </c>
      <c r="J158" s="64">
        <f t="shared" si="43"/>
        <v>0.3486464167401902</v>
      </c>
      <c r="K158" s="63">
        <f t="shared" si="44"/>
        <v>20</v>
      </c>
      <c r="L158">
        <f t="shared" si="45"/>
        <v>10.627742912848985</v>
      </c>
      <c r="M158">
        <f t="shared" si="46"/>
        <v>1.6396644236387363E-2</v>
      </c>
      <c r="N158" s="64">
        <f t="shared" si="47"/>
        <v>0.29513959625497255</v>
      </c>
      <c r="O158" s="63">
        <f t="shared" si="48"/>
        <v>0</v>
      </c>
      <c r="P158">
        <f t="shared" si="49"/>
        <v>0</v>
      </c>
      <c r="Q158" t="e">
        <f t="shared" si="50"/>
        <v>#DIV/0!</v>
      </c>
      <c r="R158" s="64" t="e">
        <f t="shared" si="51"/>
        <v>#DIV/0!</v>
      </c>
    </row>
    <row r="159" spans="1:18" x14ac:dyDescent="0.2">
      <c r="A159" s="62">
        <f t="shared" si="35"/>
        <v>3.5500000000000004E-2</v>
      </c>
      <c r="B159" s="62">
        <v>19</v>
      </c>
      <c r="C159" s="63">
        <f t="shared" si="36"/>
        <v>0</v>
      </c>
      <c r="D159">
        <f t="shared" si="37"/>
        <v>0</v>
      </c>
      <c r="E159">
        <f t="shared" si="38"/>
        <v>0</v>
      </c>
      <c r="F159" s="64">
        <f t="shared" si="39"/>
        <v>0</v>
      </c>
      <c r="G159" s="63">
        <f t="shared" si="40"/>
        <v>45</v>
      </c>
      <c r="H159">
        <f t="shared" si="41"/>
        <v>23.193193559087053</v>
      </c>
      <c r="I159">
        <f t="shared" si="42"/>
        <v>1.878666516690472E-2</v>
      </c>
      <c r="J159" s="64">
        <f t="shared" si="43"/>
        <v>0.35694663817118966</v>
      </c>
      <c r="K159" s="63">
        <f t="shared" si="44"/>
        <v>20</v>
      </c>
      <c r="L159">
        <f t="shared" si="45"/>
        <v>10.308086026260913</v>
      </c>
      <c r="M159">
        <f t="shared" si="46"/>
        <v>1.5903472705039997E-2</v>
      </c>
      <c r="N159" s="64">
        <f t="shared" si="47"/>
        <v>0.30216598139575995</v>
      </c>
      <c r="O159" s="63">
        <f t="shared" si="48"/>
        <v>0</v>
      </c>
      <c r="P159">
        <f t="shared" si="49"/>
        <v>0</v>
      </c>
      <c r="Q159" t="e">
        <f t="shared" si="50"/>
        <v>#DIV/0!</v>
      </c>
      <c r="R159" s="64" t="e">
        <f t="shared" si="51"/>
        <v>#DIV/0!</v>
      </c>
    </row>
    <row r="160" spans="1:18" x14ac:dyDescent="0.2">
      <c r="A160" s="62">
        <f t="shared" si="35"/>
        <v>3.5250000000000004E-2</v>
      </c>
      <c r="B160" s="62">
        <v>20</v>
      </c>
      <c r="C160" s="63">
        <f t="shared" si="36"/>
        <v>0</v>
      </c>
      <c r="D160">
        <f t="shared" si="37"/>
        <v>0</v>
      </c>
      <c r="E160">
        <f t="shared" si="38"/>
        <v>0</v>
      </c>
      <c r="F160" s="64">
        <f t="shared" si="39"/>
        <v>0</v>
      </c>
      <c r="G160" s="63">
        <f t="shared" si="40"/>
        <v>45</v>
      </c>
      <c r="H160">
        <f t="shared" si="41"/>
        <v>22.506487948236657</v>
      </c>
      <c r="I160">
        <f t="shared" si="42"/>
        <v>1.8230428340509305E-2</v>
      </c>
      <c r="J160" s="64">
        <f t="shared" si="43"/>
        <v>0.36460856681018611</v>
      </c>
      <c r="K160" s="63">
        <f t="shared" si="44"/>
        <v>20</v>
      </c>
      <c r="L160">
        <f t="shared" si="45"/>
        <v>10.002883532549625</v>
      </c>
      <c r="M160">
        <f t="shared" si="46"/>
        <v>1.5432601631992865E-2</v>
      </c>
      <c r="N160" s="64">
        <f t="shared" si="47"/>
        <v>0.3086520326398573</v>
      </c>
      <c r="O160" s="63">
        <f t="shared" si="48"/>
        <v>0</v>
      </c>
      <c r="P160">
        <f t="shared" si="49"/>
        <v>0</v>
      </c>
      <c r="Q160" t="e">
        <f t="shared" si="50"/>
        <v>#DIV/0!</v>
      </c>
      <c r="R160" s="64" t="e">
        <f t="shared" si="51"/>
        <v>#DIV/0!</v>
      </c>
    </row>
    <row r="161" spans="1:18" x14ac:dyDescent="0.2">
      <c r="A161" s="62">
        <f t="shared" si="35"/>
        <v>3.5000000000000003E-2</v>
      </c>
      <c r="B161" s="62">
        <v>21</v>
      </c>
      <c r="C161" s="63">
        <f t="shared" si="36"/>
        <v>0</v>
      </c>
      <c r="D161">
        <f t="shared" si="37"/>
        <v>0</v>
      </c>
      <c r="E161">
        <f t="shared" si="38"/>
        <v>0</v>
      </c>
      <c r="F161" s="64">
        <f t="shared" si="39"/>
        <v>0</v>
      </c>
      <c r="G161" s="63">
        <f t="shared" si="40"/>
        <v>45</v>
      </c>
      <c r="H161">
        <f t="shared" si="41"/>
        <v>21.850690627463944</v>
      </c>
      <c r="I161">
        <f t="shared" si="42"/>
        <v>1.7699227466799392E-2</v>
      </c>
      <c r="J161" s="64">
        <f t="shared" si="43"/>
        <v>0.37168377680278725</v>
      </c>
      <c r="K161" s="63">
        <f t="shared" si="44"/>
        <v>20</v>
      </c>
      <c r="L161">
        <f t="shared" si="45"/>
        <v>9.7114180566506416</v>
      </c>
      <c r="M161">
        <f t="shared" si="46"/>
        <v>1.4982924240029699E-2</v>
      </c>
      <c r="N161" s="64">
        <f t="shared" si="47"/>
        <v>0.31464140904062365</v>
      </c>
      <c r="O161" s="63">
        <f t="shared" si="48"/>
        <v>0</v>
      </c>
      <c r="P161">
        <f t="shared" si="49"/>
        <v>0</v>
      </c>
      <c r="Q161" t="e">
        <f t="shared" si="50"/>
        <v>#DIV/0!</v>
      </c>
      <c r="R161" s="64" t="e">
        <f t="shared" si="51"/>
        <v>#DIV/0!</v>
      </c>
    </row>
    <row r="162" spans="1:18" x14ac:dyDescent="0.2">
      <c r="A162" s="62">
        <f t="shared" si="35"/>
        <v>3.4750000000000003E-2</v>
      </c>
      <c r="B162" s="62">
        <v>22</v>
      </c>
      <c r="C162" s="63">
        <f t="shared" si="36"/>
        <v>0</v>
      </c>
      <c r="D162">
        <f t="shared" si="37"/>
        <v>0</v>
      </c>
      <c r="E162">
        <f t="shared" si="38"/>
        <v>0</v>
      </c>
      <c r="F162" s="64">
        <f t="shared" si="39"/>
        <v>0</v>
      </c>
      <c r="G162" s="63">
        <f t="shared" si="40"/>
        <v>45</v>
      </c>
      <c r="H162">
        <f t="shared" si="41"/>
        <v>21.224278815308683</v>
      </c>
      <c r="I162">
        <f t="shared" si="42"/>
        <v>1.7191829081080141E-2</v>
      </c>
      <c r="J162" s="64">
        <f t="shared" si="43"/>
        <v>0.37822023978376312</v>
      </c>
      <c r="K162" s="63">
        <f t="shared" si="44"/>
        <v>20</v>
      </c>
      <c r="L162">
        <f t="shared" si="45"/>
        <v>9.433012806803859</v>
      </c>
      <c r="M162">
        <f t="shared" si="46"/>
        <v>1.4553396364476627E-2</v>
      </c>
      <c r="N162" s="64">
        <f t="shared" si="47"/>
        <v>0.32017472001848579</v>
      </c>
      <c r="O162" s="63">
        <f t="shared" si="48"/>
        <v>0</v>
      </c>
      <c r="P162">
        <f t="shared" si="49"/>
        <v>0</v>
      </c>
      <c r="Q162" t="e">
        <f t="shared" si="50"/>
        <v>#DIV/0!</v>
      </c>
      <c r="R162" s="64" t="e">
        <f t="shared" si="51"/>
        <v>#DIV/0!</v>
      </c>
    </row>
    <row r="163" spans="1:18" x14ac:dyDescent="0.2">
      <c r="A163" s="62">
        <f t="shared" si="35"/>
        <v>3.4500000000000003E-2</v>
      </c>
      <c r="B163" s="62">
        <v>23</v>
      </c>
      <c r="C163" s="63">
        <f t="shared" si="36"/>
        <v>0</v>
      </c>
      <c r="D163">
        <f t="shared" si="37"/>
        <v>0</v>
      </c>
      <c r="E163">
        <f t="shared" si="38"/>
        <v>0</v>
      </c>
      <c r="F163" s="64">
        <f t="shared" si="39"/>
        <v>0</v>
      </c>
      <c r="G163" s="63">
        <f t="shared" si="40"/>
        <v>45</v>
      </c>
      <c r="H163">
        <f t="shared" si="41"/>
        <v>20.625815505315312</v>
      </c>
      <c r="I163">
        <f t="shared" si="42"/>
        <v>1.6707069197070209E-2</v>
      </c>
      <c r="J163" s="64">
        <f t="shared" si="43"/>
        <v>0.38426259153261483</v>
      </c>
      <c r="K163" s="63">
        <f t="shared" si="44"/>
        <v>20</v>
      </c>
      <c r="L163">
        <f t="shared" si="45"/>
        <v>9.1670291134734718</v>
      </c>
      <c r="M163">
        <f t="shared" si="46"/>
        <v>1.4143032656210223E-2</v>
      </c>
      <c r="N163" s="64">
        <f t="shared" si="47"/>
        <v>0.32528975109283514</v>
      </c>
      <c r="O163" s="63">
        <f t="shared" si="48"/>
        <v>0</v>
      </c>
      <c r="P163">
        <f t="shared" si="49"/>
        <v>0</v>
      </c>
      <c r="Q163" t="e">
        <f t="shared" si="50"/>
        <v>#DIV/0!</v>
      </c>
      <c r="R163" s="64" t="e">
        <f t="shared" si="51"/>
        <v>#DIV/0!</v>
      </c>
    </row>
    <row r="164" spans="1:18" x14ac:dyDescent="0.2">
      <c r="A164" s="62">
        <f t="shared" si="35"/>
        <v>3.4250000000000003E-2</v>
      </c>
      <c r="B164" s="62">
        <v>24</v>
      </c>
      <c r="C164" s="63">
        <f t="shared" si="36"/>
        <v>0</v>
      </c>
      <c r="D164">
        <f t="shared" si="37"/>
        <v>0</v>
      </c>
      <c r="E164">
        <f t="shared" si="38"/>
        <v>0</v>
      </c>
      <c r="F164" s="64">
        <f t="shared" si="39"/>
        <v>0</v>
      </c>
      <c r="G164" s="63">
        <f t="shared" si="40"/>
        <v>45</v>
      </c>
      <c r="H164">
        <f t="shared" si="41"/>
        <v>20.053944290935171</v>
      </c>
      <c r="I164">
        <f t="shared" si="42"/>
        <v>1.6243849115032752E-2</v>
      </c>
      <c r="J164" s="64">
        <f t="shared" si="43"/>
        <v>0.38985237876078604</v>
      </c>
      <c r="K164" s="63">
        <f t="shared" si="44"/>
        <v>20</v>
      </c>
      <c r="L164">
        <f t="shared" si="45"/>
        <v>8.9128641293045199</v>
      </c>
      <c r="M164">
        <f t="shared" si="46"/>
        <v>1.3750903033115288E-2</v>
      </c>
      <c r="N164" s="64">
        <f t="shared" si="47"/>
        <v>0.33002167279476691</v>
      </c>
      <c r="O164" s="63">
        <f t="shared" si="48"/>
        <v>0</v>
      </c>
      <c r="P164">
        <f t="shared" si="49"/>
        <v>0</v>
      </c>
      <c r="Q164" t="e">
        <f t="shared" si="50"/>
        <v>#DIV/0!</v>
      </c>
      <c r="R164" s="64" t="e">
        <f t="shared" si="51"/>
        <v>#DIV/0!</v>
      </c>
    </row>
    <row r="165" spans="1:18" x14ac:dyDescent="0.2">
      <c r="A165" s="62">
        <f t="shared" si="35"/>
        <v>3.4000000000000002E-2</v>
      </c>
      <c r="B165" s="62">
        <v>25</v>
      </c>
      <c r="C165" s="63">
        <f t="shared" si="36"/>
        <v>0</v>
      </c>
      <c r="D165">
        <f t="shared" si="37"/>
        <v>0</v>
      </c>
      <c r="E165">
        <f t="shared" si="38"/>
        <v>0</v>
      </c>
      <c r="F165" s="64">
        <f t="shared" si="39"/>
        <v>0</v>
      </c>
      <c r="G165" s="63">
        <f t="shared" si="40"/>
        <v>45</v>
      </c>
      <c r="H165">
        <f t="shared" si="41"/>
        <v>19.507384527755629</v>
      </c>
      <c r="I165">
        <f t="shared" si="42"/>
        <v>1.5801131503143821E-2</v>
      </c>
      <c r="J165" s="64">
        <f t="shared" si="43"/>
        <v>0.39502828757859554</v>
      </c>
      <c r="K165" s="63">
        <f t="shared" si="44"/>
        <v>20</v>
      </c>
      <c r="L165">
        <f t="shared" si="45"/>
        <v>8.669948679002502</v>
      </c>
      <c r="M165">
        <f t="shared" si="46"/>
        <v>1.3376129362846264E-2</v>
      </c>
      <c r="N165" s="64">
        <f t="shared" si="47"/>
        <v>0.33440323407115657</v>
      </c>
      <c r="O165" s="63">
        <f t="shared" si="48"/>
        <v>0</v>
      </c>
      <c r="P165">
        <f t="shared" si="49"/>
        <v>0</v>
      </c>
      <c r="Q165" t="e">
        <f t="shared" si="50"/>
        <v>#DIV/0!</v>
      </c>
      <c r="R165" s="64" t="e">
        <f t="shared" si="51"/>
        <v>#DIV/0!</v>
      </c>
    </row>
    <row r="166" spans="1:18" x14ac:dyDescent="0.2">
      <c r="A166" s="62">
        <f t="shared" si="35"/>
        <v>3.3750000000000002E-2</v>
      </c>
      <c r="B166" s="62">
        <v>26</v>
      </c>
      <c r="C166" s="63">
        <f t="shared" si="36"/>
        <v>0</v>
      </c>
      <c r="D166">
        <f t="shared" si="37"/>
        <v>0</v>
      </c>
      <c r="E166">
        <f t="shared" si="38"/>
        <v>0</v>
      </c>
      <c r="F166" s="64">
        <f t="shared" si="39"/>
        <v>0</v>
      </c>
      <c r="G166" s="63">
        <f t="shared" si="40"/>
        <v>45</v>
      </c>
      <c r="H166">
        <f t="shared" si="41"/>
        <v>18.984926809865648</v>
      </c>
      <c r="I166">
        <f t="shared" si="42"/>
        <v>1.5377936733313658E-2</v>
      </c>
      <c r="J166" s="64">
        <f t="shared" si="43"/>
        <v>0.3998263550661551</v>
      </c>
      <c r="K166" s="63">
        <f t="shared" si="44"/>
        <v>20</v>
      </c>
      <c r="L166">
        <f t="shared" si="45"/>
        <v>8.4377452488291755</v>
      </c>
      <c r="M166">
        <f t="shared" si="46"/>
        <v>1.3017882360990609E-2</v>
      </c>
      <c r="N166" s="64">
        <f t="shared" si="47"/>
        <v>0.33846494138575584</v>
      </c>
      <c r="O166" s="63">
        <f t="shared" si="48"/>
        <v>0</v>
      </c>
      <c r="P166">
        <f t="shared" si="49"/>
        <v>0</v>
      </c>
      <c r="Q166" t="e">
        <f t="shared" si="50"/>
        <v>#DIV/0!</v>
      </c>
      <c r="R166" s="64" t="e">
        <f t="shared" si="51"/>
        <v>#DIV/0!</v>
      </c>
    </row>
    <row r="167" spans="1:18" x14ac:dyDescent="0.2">
      <c r="A167" s="62">
        <f t="shared" si="35"/>
        <v>3.3500000000000002E-2</v>
      </c>
      <c r="B167" s="62">
        <v>27</v>
      </c>
      <c r="C167" s="63">
        <f t="shared" si="36"/>
        <v>0</v>
      </c>
      <c r="D167">
        <f t="shared" si="37"/>
        <v>0</v>
      </c>
      <c r="E167">
        <f t="shared" si="38"/>
        <v>0</v>
      </c>
      <c r="F167" s="64">
        <f t="shared" si="39"/>
        <v>0</v>
      </c>
      <c r="G167" s="63">
        <f t="shared" si="40"/>
        <v>45</v>
      </c>
      <c r="H167">
        <f t="shared" si="41"/>
        <v>18.485428738856555</v>
      </c>
      <c r="I167">
        <f t="shared" si="42"/>
        <v>1.49733394540448E-2</v>
      </c>
      <c r="J167" s="64">
        <f t="shared" si="43"/>
        <v>0.40428016525920962</v>
      </c>
      <c r="K167" s="63">
        <f t="shared" si="44"/>
        <v>20</v>
      </c>
      <c r="L167">
        <f t="shared" si="45"/>
        <v>8.2157461061584698</v>
      </c>
      <c r="M167">
        <f t="shared" si="46"/>
        <v>1.2675378689890911E-2</v>
      </c>
      <c r="N167" s="64">
        <f t="shared" si="47"/>
        <v>0.34223522462705458</v>
      </c>
      <c r="O167" s="63">
        <f t="shared" si="48"/>
        <v>0</v>
      </c>
      <c r="P167">
        <f t="shared" si="49"/>
        <v>0</v>
      </c>
      <c r="Q167" t="e">
        <f t="shared" si="50"/>
        <v>#DIV/0!</v>
      </c>
      <c r="R167" s="64" t="e">
        <f t="shared" si="51"/>
        <v>#DIV/0!</v>
      </c>
    </row>
    <row r="168" spans="1:18" x14ac:dyDescent="0.2">
      <c r="A168" s="62">
        <f t="shared" si="35"/>
        <v>3.3250000000000002E-2</v>
      </c>
      <c r="B168" s="62">
        <v>28</v>
      </c>
      <c r="C168" s="63">
        <f t="shared" si="36"/>
        <v>0</v>
      </c>
      <c r="D168">
        <f t="shared" si="37"/>
        <v>0</v>
      </c>
      <c r="E168">
        <f t="shared" si="38"/>
        <v>0</v>
      </c>
      <c r="F168" s="64">
        <f t="shared" si="39"/>
        <v>0</v>
      </c>
      <c r="G168" s="63">
        <f t="shared" si="40"/>
        <v>45</v>
      </c>
      <c r="H168">
        <f t="shared" si="41"/>
        <v>18.007810965508554</v>
      </c>
      <c r="I168">
        <f t="shared" si="42"/>
        <v>1.4586465384167694E-2</v>
      </c>
      <c r="J168" s="64">
        <f t="shared" si="43"/>
        <v>0.40842103075669545</v>
      </c>
      <c r="K168" s="63">
        <f t="shared" si="44"/>
        <v>20</v>
      </c>
      <c r="L168">
        <f t="shared" si="45"/>
        <v>8.003471540226025</v>
      </c>
      <c r="M168">
        <f t="shared" si="46"/>
        <v>1.2347878244446395E-2</v>
      </c>
      <c r="N168" s="64">
        <f t="shared" si="47"/>
        <v>0.34574059084449904</v>
      </c>
      <c r="O168" s="63">
        <f t="shared" si="48"/>
        <v>0</v>
      </c>
      <c r="P168">
        <f t="shared" si="49"/>
        <v>0</v>
      </c>
      <c r="Q168" t="e">
        <f t="shared" si="50"/>
        <v>#DIV/0!</v>
      </c>
      <c r="R168" s="64" t="e">
        <f t="shared" si="51"/>
        <v>#DIV/0!</v>
      </c>
    </row>
    <row r="169" spans="1:18" x14ac:dyDescent="0.2">
      <c r="A169" s="62">
        <f t="shared" si="35"/>
        <v>3.3000000000000002E-2</v>
      </c>
      <c r="B169" s="62">
        <v>29</v>
      </c>
      <c r="C169" s="63">
        <f t="shared" si="36"/>
        <v>0</v>
      </c>
      <c r="D169">
        <f t="shared" si="37"/>
        <v>0</v>
      </c>
      <c r="E169">
        <f t="shared" si="38"/>
        <v>0</v>
      </c>
      <c r="F169" s="64">
        <f t="shared" si="39"/>
        <v>0</v>
      </c>
      <c r="G169" s="63">
        <f t="shared" si="40"/>
        <v>45</v>
      </c>
      <c r="H169">
        <f t="shared" si="41"/>
        <v>17.551053485652261</v>
      </c>
      <c r="I169">
        <f t="shared" si="42"/>
        <v>1.4216488312460061E-2</v>
      </c>
      <c r="J169" s="64">
        <f t="shared" si="43"/>
        <v>0.41227816106134174</v>
      </c>
      <c r="K169" s="63">
        <f t="shared" si="44"/>
        <v>20</v>
      </c>
      <c r="L169">
        <f t="shared" si="45"/>
        <v>7.8004682158454495</v>
      </c>
      <c r="M169">
        <f t="shared" si="46"/>
        <v>1.2034681612201181E-2</v>
      </c>
      <c r="N169" s="64">
        <f t="shared" si="47"/>
        <v>0.34900576675383421</v>
      </c>
      <c r="O169" s="63">
        <f t="shared" si="48"/>
        <v>0</v>
      </c>
      <c r="P169">
        <f t="shared" si="49"/>
        <v>0</v>
      </c>
      <c r="Q169" t="e">
        <f t="shared" si="50"/>
        <v>#DIV/0!</v>
      </c>
      <c r="R169" s="64" t="e">
        <f t="shared" si="51"/>
        <v>#DIV/0!</v>
      </c>
    </row>
    <row r="170" spans="1:18" x14ac:dyDescent="0.2">
      <c r="A170" s="62">
        <f t="shared" si="35"/>
        <v>3.2750000000000001E-2</v>
      </c>
      <c r="B170" s="62">
        <v>30</v>
      </c>
      <c r="C170" s="63">
        <f t="shared" si="36"/>
        <v>0</v>
      </c>
      <c r="D170">
        <f t="shared" si="37"/>
        <v>0</v>
      </c>
      <c r="E170">
        <f t="shared" si="38"/>
        <v>0</v>
      </c>
      <c r="F170" s="64">
        <f t="shared" si="39"/>
        <v>0</v>
      </c>
      <c r="G170" s="63">
        <f t="shared" si="40"/>
        <v>45</v>
      </c>
      <c r="H170">
        <f t="shared" si="41"/>
        <v>17.114192173027149</v>
      </c>
      <c r="I170">
        <f t="shared" si="42"/>
        <v>1.3862627289235558E-2</v>
      </c>
      <c r="J170" s="64">
        <f t="shared" si="43"/>
        <v>0.41587881867706672</v>
      </c>
      <c r="K170" s="63">
        <f t="shared" si="44"/>
        <v>20</v>
      </c>
      <c r="L170">
        <f t="shared" si="45"/>
        <v>7.6063076324565113</v>
      </c>
      <c r="M170">
        <f t="shared" si="46"/>
        <v>1.1735127695940289E-2</v>
      </c>
      <c r="N170" s="64">
        <f t="shared" si="47"/>
        <v>0.35205383087820868</v>
      </c>
      <c r="O170" s="63">
        <f t="shared" si="48"/>
        <v>0</v>
      </c>
      <c r="P170">
        <f t="shared" si="49"/>
        <v>0</v>
      </c>
      <c r="Q170" t="e">
        <f t="shared" si="50"/>
        <v>#DIV/0!</v>
      </c>
      <c r="R170" s="64" t="e">
        <f t="shared" si="51"/>
        <v>#DIV/0!</v>
      </c>
    </row>
    <row r="171" spans="1:18" x14ac:dyDescent="0.2">
      <c r="A171" s="62">
        <f t="shared" si="35"/>
        <v>3.2500000000000001E-2</v>
      </c>
      <c r="B171" s="62">
        <v>31</v>
      </c>
      <c r="C171" s="63">
        <f t="shared" si="36"/>
        <v>0</v>
      </c>
      <c r="D171">
        <f t="shared" si="37"/>
        <v>0</v>
      </c>
      <c r="E171">
        <f t="shared" si="38"/>
        <v>0</v>
      </c>
      <c r="F171" s="64">
        <f t="shared" si="39"/>
        <v>0</v>
      </c>
      <c r="G171" s="63">
        <f t="shared" si="40"/>
        <v>45</v>
      </c>
      <c r="H171">
        <f t="shared" si="41"/>
        <v>16.696315533186489</v>
      </c>
      <c r="I171">
        <f t="shared" si="42"/>
        <v>1.3524143996981831E-2</v>
      </c>
      <c r="J171" s="64">
        <f t="shared" si="43"/>
        <v>0.41924846390643677</v>
      </c>
      <c r="K171" s="63">
        <f t="shared" si="44"/>
        <v>20</v>
      </c>
      <c r="L171">
        <f t="shared" si="45"/>
        <v>7.4205846814162175</v>
      </c>
      <c r="M171">
        <f t="shared" si="46"/>
        <v>1.1448591487856258E-2</v>
      </c>
      <c r="N171" s="64">
        <f t="shared" si="47"/>
        <v>0.354906336123544</v>
      </c>
      <c r="O171" s="63">
        <f t="shared" si="48"/>
        <v>0</v>
      </c>
      <c r="P171">
        <f t="shared" si="49"/>
        <v>0</v>
      </c>
      <c r="Q171" t="e">
        <f t="shared" si="50"/>
        <v>#DIV/0!</v>
      </c>
      <c r="R171" s="64" t="e">
        <f t="shared" si="51"/>
        <v>#DIV/0!</v>
      </c>
    </row>
    <row r="172" spans="1:18" x14ac:dyDescent="0.2">
      <c r="A172" s="62">
        <f t="shared" si="35"/>
        <v>3.2250000000000001E-2</v>
      </c>
      <c r="B172" s="62">
        <v>32</v>
      </c>
      <c r="C172" s="63">
        <f t="shared" si="36"/>
        <v>0</v>
      </c>
      <c r="D172">
        <f t="shared" si="37"/>
        <v>0</v>
      </c>
      <c r="E172">
        <f t="shared" si="38"/>
        <v>0</v>
      </c>
      <c r="F172" s="64">
        <f t="shared" si="39"/>
        <v>0</v>
      </c>
      <c r="G172" s="63">
        <f t="shared" si="40"/>
        <v>45</v>
      </c>
      <c r="H172">
        <f t="shared" si="41"/>
        <v>16.296561663635796</v>
      </c>
      <c r="I172">
        <f t="shared" si="42"/>
        <v>1.3200340288049261E-2</v>
      </c>
      <c r="J172" s="64">
        <f t="shared" si="43"/>
        <v>0.42241088921757636</v>
      </c>
      <c r="K172" s="63">
        <f t="shared" si="44"/>
        <v>20</v>
      </c>
      <c r="L172">
        <f t="shared" si="45"/>
        <v>7.2429162949492421</v>
      </c>
      <c r="M172">
        <f t="shared" si="46"/>
        <v>1.1174481985129207E-2</v>
      </c>
      <c r="N172" s="64">
        <f t="shared" si="47"/>
        <v>0.35758342352413464</v>
      </c>
      <c r="O172" s="63">
        <f t="shared" si="48"/>
        <v>0</v>
      </c>
      <c r="P172">
        <f t="shared" si="49"/>
        <v>0</v>
      </c>
      <c r="Q172" t="e">
        <f t="shared" si="50"/>
        <v>#DIV/0!</v>
      </c>
      <c r="R172" s="64" t="e">
        <f t="shared" si="51"/>
        <v>#DIV/0!</v>
      </c>
    </row>
    <row r="173" spans="1:18" x14ac:dyDescent="0.2">
      <c r="A173" s="62">
        <f t="shared" si="35"/>
        <v>3.2000000000000001E-2</v>
      </c>
      <c r="B173" s="62">
        <v>33</v>
      </c>
      <c r="C173" s="63">
        <f t="shared" si="36"/>
        <v>0</v>
      </c>
      <c r="D173">
        <f t="shared" si="37"/>
        <v>0</v>
      </c>
      <c r="E173">
        <f t="shared" si="38"/>
        <v>0</v>
      </c>
      <c r="F173" s="64">
        <f t="shared" si="39"/>
        <v>0</v>
      </c>
      <c r="G173" s="63">
        <f t="shared" si="40"/>
        <v>45</v>
      </c>
      <c r="H173">
        <f t="shared" si="41"/>
        <v>15.914115406450609</v>
      </c>
      <c r="I173">
        <f t="shared" si="42"/>
        <v>1.2890555878249473E-2</v>
      </c>
      <c r="J173" s="64">
        <f t="shared" si="43"/>
        <v>0.42538834398223263</v>
      </c>
      <c r="K173" s="63">
        <f t="shared" si="44"/>
        <v>20</v>
      </c>
      <c r="L173">
        <f t="shared" si="45"/>
        <v>7.0729401806447152</v>
      </c>
      <c r="M173">
        <f t="shared" si="46"/>
        <v>1.0912240237489141E-2</v>
      </c>
      <c r="N173" s="64">
        <f t="shared" si="47"/>
        <v>0.36010392783714168</v>
      </c>
      <c r="O173" s="63">
        <f t="shared" si="48"/>
        <v>0</v>
      </c>
      <c r="P173">
        <f t="shared" si="49"/>
        <v>0</v>
      </c>
      <c r="Q173" t="e">
        <f t="shared" si="50"/>
        <v>#DIV/0!</v>
      </c>
      <c r="R173" s="64" t="e">
        <f t="shared" si="51"/>
        <v>#DIV/0!</v>
      </c>
    </row>
    <row r="174" spans="1:18" x14ac:dyDescent="0.2">
      <c r="A174" s="62">
        <f t="shared" si="35"/>
        <v>3.175E-2</v>
      </c>
      <c r="B174" s="62">
        <v>34</v>
      </c>
      <c r="C174" s="63">
        <f t="shared" si="36"/>
        <v>0</v>
      </c>
      <c r="D174">
        <f t="shared" si="37"/>
        <v>0</v>
      </c>
      <c r="E174">
        <f t="shared" si="38"/>
        <v>0</v>
      </c>
      <c r="F174" s="64">
        <f t="shared" si="39"/>
        <v>0</v>
      </c>
      <c r="G174" s="63">
        <f t="shared" si="40"/>
        <v>45</v>
      </c>
      <c r="H174">
        <f t="shared" si="41"/>
        <v>15.548205680589513</v>
      </c>
      <c r="I174">
        <f t="shared" si="42"/>
        <v>1.2594166186008364E-2</v>
      </c>
      <c r="J174" s="64">
        <f t="shared" si="43"/>
        <v>0.42820165032428437</v>
      </c>
      <c r="K174" s="63">
        <f t="shared" si="44"/>
        <v>20</v>
      </c>
      <c r="L174">
        <f t="shared" si="45"/>
        <v>6.9103136358175616</v>
      </c>
      <c r="M174">
        <f t="shared" si="46"/>
        <v>1.0661337517994498E-2</v>
      </c>
      <c r="N174" s="64">
        <f t="shared" si="47"/>
        <v>0.36248547561181294</v>
      </c>
      <c r="O174" s="63">
        <f t="shared" si="48"/>
        <v>0</v>
      </c>
      <c r="P174">
        <f t="shared" si="49"/>
        <v>0</v>
      </c>
      <c r="Q174" t="e">
        <f t="shared" si="50"/>
        <v>#DIV/0!</v>
      </c>
      <c r="R174" s="64" t="e">
        <f t="shared" si="51"/>
        <v>#DIV/0!</v>
      </c>
    </row>
    <row r="175" spans="1:18" x14ac:dyDescent="0.2">
      <c r="A175" s="62">
        <f t="shared" si="35"/>
        <v>3.15E-2</v>
      </c>
      <c r="B175" s="62">
        <v>35</v>
      </c>
      <c r="C175" s="63">
        <f t="shared" si="36"/>
        <v>0</v>
      </c>
      <c r="D175">
        <f t="shared" si="37"/>
        <v>0</v>
      </c>
      <c r="E175">
        <f t="shared" si="38"/>
        <v>0</v>
      </c>
      <c r="F175" s="64">
        <f t="shared" si="39"/>
        <v>0</v>
      </c>
      <c r="G175" s="63">
        <f t="shared" si="40"/>
        <v>45</v>
      </c>
      <c r="H175">
        <f t="shared" si="41"/>
        <v>15.198102982024164</v>
      </c>
      <c r="I175">
        <f t="shared" si="42"/>
        <v>1.2310580307452194E-2</v>
      </c>
      <c r="J175" s="64">
        <f t="shared" si="43"/>
        <v>0.43087031076082677</v>
      </c>
      <c r="K175" s="63">
        <f t="shared" si="44"/>
        <v>20</v>
      </c>
      <c r="L175">
        <f t="shared" si="45"/>
        <v>6.7547124364551845</v>
      </c>
      <c r="M175">
        <f t="shared" si="46"/>
        <v>1.0421273608882103E-2</v>
      </c>
      <c r="N175" s="64">
        <f t="shared" si="47"/>
        <v>0.36474457631087359</v>
      </c>
      <c r="O175" s="63">
        <f t="shared" si="48"/>
        <v>0</v>
      </c>
      <c r="P175">
        <f t="shared" si="49"/>
        <v>0</v>
      </c>
      <c r="Q175" t="e">
        <f t="shared" si="50"/>
        <v>#DIV/0!</v>
      </c>
      <c r="R175" s="64" t="e">
        <f t="shared" si="51"/>
        <v>#DIV/0!</v>
      </c>
    </row>
    <row r="176" spans="1:18" x14ac:dyDescent="0.2">
      <c r="A176" s="62">
        <f t="shared" si="35"/>
        <v>3.125E-2</v>
      </c>
      <c r="B176" s="62">
        <v>36</v>
      </c>
      <c r="C176" s="63">
        <f t="shared" si="36"/>
        <v>0</v>
      </c>
      <c r="D176">
        <f t="shared" si="37"/>
        <v>0</v>
      </c>
      <c r="E176">
        <f t="shared" si="38"/>
        <v>0</v>
      </c>
      <c r="F176" s="64">
        <f t="shared" si="39"/>
        <v>0</v>
      </c>
      <c r="G176" s="63">
        <f t="shared" si="40"/>
        <v>45</v>
      </c>
      <c r="H176">
        <f t="shared" si="41"/>
        <v>14.863117040647003</v>
      </c>
      <c r="I176">
        <f t="shared" si="42"/>
        <v>1.2039239118484821E-2</v>
      </c>
      <c r="J176" s="64">
        <f t="shared" si="43"/>
        <v>0.43341260826545358</v>
      </c>
      <c r="K176" s="63">
        <f t="shared" si="44"/>
        <v>20</v>
      </c>
      <c r="L176">
        <f t="shared" si="45"/>
        <v>6.6058297958431131</v>
      </c>
      <c r="M176">
        <f t="shared" si="46"/>
        <v>1.0191575194918904E-2</v>
      </c>
      <c r="N176" s="64">
        <f t="shared" si="47"/>
        <v>0.36689670701708055</v>
      </c>
      <c r="O176" s="63">
        <f t="shared" si="48"/>
        <v>0</v>
      </c>
      <c r="P176">
        <f t="shared" si="49"/>
        <v>0</v>
      </c>
      <c r="Q176" t="e">
        <f t="shared" si="50"/>
        <v>#DIV/0!</v>
      </c>
      <c r="R176" s="64" t="e">
        <f t="shared" si="51"/>
        <v>#DIV/0!</v>
      </c>
    </row>
    <row r="177" spans="1:18" x14ac:dyDescent="0.2">
      <c r="A177" s="62">
        <f t="shared" si="35"/>
        <v>3.1E-2</v>
      </c>
      <c r="B177" s="62">
        <v>37</v>
      </c>
      <c r="C177" s="63">
        <f t="shared" si="36"/>
        <v>0</v>
      </c>
      <c r="D177">
        <f t="shared" si="37"/>
        <v>0</v>
      </c>
      <c r="E177">
        <f t="shared" si="38"/>
        <v>0</v>
      </c>
      <c r="F177" s="64">
        <f t="shared" si="39"/>
        <v>0</v>
      </c>
      <c r="G177" s="63">
        <f t="shared" si="40"/>
        <v>45</v>
      </c>
      <c r="H177">
        <f t="shared" si="41"/>
        <v>14.542594623688593</v>
      </c>
      <c r="I177">
        <f t="shared" si="42"/>
        <v>1.177961349553884E-2</v>
      </c>
      <c r="J177" s="64">
        <f t="shared" si="43"/>
        <v>0.43584569933493711</v>
      </c>
      <c r="K177" s="63">
        <f t="shared" si="44"/>
        <v>20</v>
      </c>
      <c r="L177">
        <f t="shared" si="45"/>
        <v>6.4633753883060416</v>
      </c>
      <c r="M177">
        <f t="shared" si="46"/>
        <v>9.9717943572147152E-3</v>
      </c>
      <c r="N177" s="64">
        <f t="shared" si="47"/>
        <v>0.36895639121694446</v>
      </c>
      <c r="O177" s="63">
        <f t="shared" si="48"/>
        <v>0</v>
      </c>
      <c r="P177">
        <f t="shared" si="49"/>
        <v>0</v>
      </c>
      <c r="Q177" t="e">
        <f t="shared" si="50"/>
        <v>#DIV/0!</v>
      </c>
      <c r="R177" s="64" t="e">
        <f t="shared" si="51"/>
        <v>#DIV/0!</v>
      </c>
    </row>
    <row r="178" spans="1:18" x14ac:dyDescent="0.2">
      <c r="A178" s="62">
        <f t="shared" si="35"/>
        <v>3.075E-2</v>
      </c>
      <c r="B178" s="62">
        <v>38</v>
      </c>
      <c r="C178" s="63">
        <f t="shared" si="36"/>
        <v>0</v>
      </c>
      <c r="D178">
        <f t="shared" si="37"/>
        <v>0</v>
      </c>
      <c r="E178">
        <f t="shared" si="38"/>
        <v>0</v>
      </c>
      <c r="F178" s="64">
        <f t="shared" si="39"/>
        <v>0</v>
      </c>
      <c r="G178" s="63">
        <f t="shared" si="40"/>
        <v>45</v>
      </c>
      <c r="H178">
        <f t="shared" si="41"/>
        <v>14.235917476100672</v>
      </c>
      <c r="I178">
        <f t="shared" si="42"/>
        <v>1.1531202647270023E-2</v>
      </c>
      <c r="J178" s="64">
        <f t="shared" si="43"/>
        <v>0.43818570059626089</v>
      </c>
      <c r="K178" s="63">
        <f t="shared" si="44"/>
        <v>20</v>
      </c>
      <c r="L178">
        <f t="shared" si="45"/>
        <v>6.3270744338225207</v>
      </c>
      <c r="M178">
        <f t="shared" si="46"/>
        <v>9.7615071609517771E-3</v>
      </c>
      <c r="N178" s="64">
        <f t="shared" si="47"/>
        <v>0.3709372721161675</v>
      </c>
      <c r="O178" s="63">
        <f t="shared" si="48"/>
        <v>0</v>
      </c>
      <c r="P178">
        <f t="shared" si="49"/>
        <v>0</v>
      </c>
      <c r="Q178" t="e">
        <f t="shared" si="50"/>
        <v>#DIV/0!</v>
      </c>
      <c r="R178" s="64" t="e">
        <f t="shared" si="51"/>
        <v>#DIV/0!</v>
      </c>
    </row>
    <row r="179" spans="1:18" x14ac:dyDescent="0.2">
      <c r="A179" s="62">
        <f t="shared" si="35"/>
        <v>3.0499999999999999E-2</v>
      </c>
      <c r="B179" s="62">
        <v>39</v>
      </c>
      <c r="C179" s="63">
        <f t="shared" si="36"/>
        <v>0</v>
      </c>
      <c r="D179">
        <f t="shared" si="37"/>
        <v>0</v>
      </c>
      <c r="E179">
        <f t="shared" si="38"/>
        <v>0</v>
      </c>
      <c r="F179" s="64">
        <f t="shared" si="39"/>
        <v>0</v>
      </c>
      <c r="G179" s="63">
        <f t="shared" si="40"/>
        <v>45</v>
      </c>
      <c r="H179">
        <f t="shared" si="41"/>
        <v>13.942500389024476</v>
      </c>
      <c r="I179">
        <f t="shared" si="42"/>
        <v>1.1293532550001796E-2</v>
      </c>
      <c r="J179" s="64">
        <f t="shared" si="43"/>
        <v>0.44044776945007003</v>
      </c>
      <c r="K179" s="63">
        <f t="shared" si="44"/>
        <v>20</v>
      </c>
      <c r="L179">
        <f t="shared" si="45"/>
        <v>6.1966668395664337</v>
      </c>
      <c r="M179">
        <f t="shared" si="46"/>
        <v>9.560312330941817E-3</v>
      </c>
      <c r="N179" s="64">
        <f t="shared" si="47"/>
        <v>0.37285218090673089</v>
      </c>
      <c r="O179" s="63">
        <f t="shared" si="48"/>
        <v>0</v>
      </c>
      <c r="P179">
        <f t="shared" si="49"/>
        <v>0</v>
      </c>
      <c r="Q179" t="e">
        <f t="shared" si="50"/>
        <v>#DIV/0!</v>
      </c>
      <c r="R179" s="64" t="e">
        <f t="shared" si="51"/>
        <v>#DIV/0!</v>
      </c>
    </row>
    <row r="180" spans="1:18" x14ac:dyDescent="0.2">
      <c r="A180" s="62">
        <f t="shared" si="35"/>
        <v>3.0249999999999999E-2</v>
      </c>
      <c r="B180" s="62">
        <v>40</v>
      </c>
      <c r="C180" s="63">
        <f t="shared" si="36"/>
        <v>0</v>
      </c>
      <c r="D180">
        <f t="shared" si="37"/>
        <v>0</v>
      </c>
      <c r="E180">
        <f t="shared" si="38"/>
        <v>0</v>
      </c>
      <c r="F180" s="64">
        <f t="shared" si="39"/>
        <v>0</v>
      </c>
      <c r="G180" s="63">
        <f t="shared" si="40"/>
        <v>45</v>
      </c>
      <c r="H180">
        <f t="shared" si="41"/>
        <v>13.661789388082077</v>
      </c>
      <c r="I180">
        <f t="shared" si="42"/>
        <v>1.1066154480227299E-2</v>
      </c>
      <c r="J180" s="64">
        <f t="shared" si="43"/>
        <v>0.44264617920909194</v>
      </c>
      <c r="K180" s="63">
        <f t="shared" si="44"/>
        <v>20</v>
      </c>
      <c r="L180">
        <f t="shared" si="45"/>
        <v>6.0719063947031451</v>
      </c>
      <c r="M180">
        <f t="shared" si="46"/>
        <v>9.367830009345237E-3</v>
      </c>
      <c r="N180" s="64">
        <f t="shared" si="47"/>
        <v>0.37471320037380951</v>
      </c>
      <c r="O180" s="63">
        <f t="shared" si="48"/>
        <v>0</v>
      </c>
      <c r="P180">
        <f t="shared" si="49"/>
        <v>0</v>
      </c>
      <c r="Q180" t="e">
        <f t="shared" si="50"/>
        <v>#DIV/0!</v>
      </c>
      <c r="R180" s="64" t="e">
        <f t="shared" si="51"/>
        <v>#DIV/0!</v>
      </c>
    </row>
    <row r="181" spans="1:18" x14ac:dyDescent="0.2">
      <c r="A181" s="62">
        <f t="shared" si="35"/>
        <v>0.03</v>
      </c>
      <c r="B181" s="62">
        <v>41</v>
      </c>
      <c r="C181" s="63">
        <f t="shared" si="36"/>
        <v>0</v>
      </c>
      <c r="D181">
        <f t="shared" si="37"/>
        <v>0</v>
      </c>
      <c r="E181">
        <f t="shared" si="38"/>
        <v>0</v>
      </c>
      <c r="F181" s="64">
        <f t="shared" si="39"/>
        <v>0</v>
      </c>
      <c r="G181" s="63">
        <f t="shared" si="40"/>
        <v>45</v>
      </c>
      <c r="H181">
        <f t="shared" si="41"/>
        <v>13.393260033807096</v>
      </c>
      <c r="I181">
        <f t="shared" si="42"/>
        <v>1.0848643637945181E-2</v>
      </c>
      <c r="J181" s="64">
        <f t="shared" si="43"/>
        <v>0.44479438915575242</v>
      </c>
      <c r="K181" s="63">
        <f t="shared" si="44"/>
        <v>20</v>
      </c>
      <c r="L181">
        <f t="shared" si="45"/>
        <v>5.9525600150253757</v>
      </c>
      <c r="M181">
        <f t="shared" si="46"/>
        <v>9.1837005902838005E-3</v>
      </c>
      <c r="N181" s="64">
        <f t="shared" si="47"/>
        <v>0.37653172420163583</v>
      </c>
      <c r="O181" s="63">
        <f t="shared" si="48"/>
        <v>0</v>
      </c>
      <c r="P181">
        <f t="shared" si="49"/>
        <v>0</v>
      </c>
      <c r="Q181" t="e">
        <f t="shared" si="50"/>
        <v>#DIV/0!</v>
      </c>
      <c r="R181" s="64" t="e">
        <f t="shared" si="51"/>
        <v>#DIV/0!</v>
      </c>
    </row>
    <row r="182" spans="1:18" x14ac:dyDescent="0.2">
      <c r="A182" s="62">
        <f t="shared" si="35"/>
        <v>2.9749999999999999E-2</v>
      </c>
      <c r="B182" s="62">
        <v>42</v>
      </c>
      <c r="C182" s="63">
        <f t="shared" si="36"/>
        <v>0</v>
      </c>
      <c r="D182">
        <f t="shared" si="37"/>
        <v>0</v>
      </c>
      <c r="E182">
        <f t="shared" si="38"/>
        <v>0</v>
      </c>
      <c r="F182" s="64">
        <f t="shared" si="39"/>
        <v>0</v>
      </c>
      <c r="G182" s="63">
        <f t="shared" si="40"/>
        <v>45</v>
      </c>
      <c r="H182">
        <f t="shared" si="41"/>
        <v>13.136415827055789</v>
      </c>
      <c r="I182">
        <f t="shared" si="42"/>
        <v>1.0640597855030326E-2</v>
      </c>
      <c r="J182" s="64">
        <f t="shared" si="43"/>
        <v>0.44690510991127369</v>
      </c>
      <c r="K182" s="63">
        <f t="shared" si="44"/>
        <v>20</v>
      </c>
      <c r="L182">
        <f t="shared" si="45"/>
        <v>5.8384070342470169</v>
      </c>
      <c r="M182">
        <f t="shared" si="46"/>
        <v>9.0075836264378838E-3</v>
      </c>
      <c r="N182" s="64">
        <f t="shared" si="47"/>
        <v>0.3783185123103911</v>
      </c>
      <c r="O182" s="63">
        <f t="shared" si="48"/>
        <v>0</v>
      </c>
      <c r="P182">
        <f t="shared" si="49"/>
        <v>0</v>
      </c>
      <c r="Q182" t="e">
        <f t="shared" si="50"/>
        <v>#DIV/0!</v>
      </c>
      <c r="R182" s="64" t="e">
        <f t="shared" si="51"/>
        <v>#DIV/0!</v>
      </c>
    </row>
    <row r="183" spans="1:18" x14ac:dyDescent="0.2">
      <c r="A183" s="62">
        <f t="shared" si="35"/>
        <v>2.9499999999999998E-2</v>
      </c>
      <c r="B183" s="62">
        <v>43</v>
      </c>
      <c r="C183" s="63">
        <f t="shared" si="36"/>
        <v>0</v>
      </c>
      <c r="D183">
        <f t="shared" si="37"/>
        <v>0</v>
      </c>
      <c r="E183">
        <f t="shared" si="38"/>
        <v>0</v>
      </c>
      <c r="F183" s="64">
        <f t="shared" si="39"/>
        <v>0</v>
      </c>
      <c r="G183" s="63">
        <f t="shared" si="40"/>
        <v>45</v>
      </c>
      <c r="H183">
        <f t="shared" si="41"/>
        <v>12.890786712743548</v>
      </c>
      <c r="I183">
        <f t="shared" si="42"/>
        <v>1.04416363832489E-2</v>
      </c>
      <c r="J183" s="64">
        <f t="shared" si="43"/>
        <v>0.4489903644797027</v>
      </c>
      <c r="K183" s="63">
        <f t="shared" si="44"/>
        <v>20</v>
      </c>
      <c r="L183">
        <f t="shared" si="45"/>
        <v>5.7292385389971328</v>
      </c>
      <c r="M183">
        <f t="shared" si="46"/>
        <v>8.8391568030650701E-3</v>
      </c>
      <c r="N183" s="64">
        <f t="shared" si="47"/>
        <v>0.380083742531798</v>
      </c>
      <c r="O183" s="63">
        <f t="shared" si="48"/>
        <v>0</v>
      </c>
      <c r="P183">
        <f t="shared" si="49"/>
        <v>0</v>
      </c>
      <c r="Q183" t="e">
        <f t="shared" si="50"/>
        <v>#DIV/0!</v>
      </c>
      <c r="R183" s="64" t="e">
        <f t="shared" si="51"/>
        <v>#DIV/0!</v>
      </c>
    </row>
    <row r="184" spans="1:18" x14ac:dyDescent="0.2">
      <c r="A184" s="62">
        <f t="shared" si="35"/>
        <v>2.9249999999999998E-2</v>
      </c>
      <c r="B184" s="62">
        <v>44</v>
      </c>
      <c r="C184" s="63">
        <f t="shared" si="36"/>
        <v>0</v>
      </c>
      <c r="D184">
        <f t="shared" si="37"/>
        <v>0</v>
      </c>
      <c r="E184">
        <f t="shared" si="38"/>
        <v>0</v>
      </c>
      <c r="F184" s="64">
        <f t="shared" si="39"/>
        <v>0</v>
      </c>
      <c r="G184" s="63">
        <f t="shared" si="40"/>
        <v>45</v>
      </c>
      <c r="H184">
        <f t="shared" si="41"/>
        <v>12.655927675702985</v>
      </c>
      <c r="I184">
        <f t="shared" si="42"/>
        <v>1.0251398756892609E-2</v>
      </c>
      <c r="J184" s="64">
        <f t="shared" si="43"/>
        <v>0.4510615453032748</v>
      </c>
      <c r="K184" s="63">
        <f t="shared" si="44"/>
        <v>20</v>
      </c>
      <c r="L184">
        <f t="shared" si="45"/>
        <v>5.6248567447568822</v>
      </c>
      <c r="M184">
        <f t="shared" si="46"/>
        <v>8.6781149751860801E-3</v>
      </c>
      <c r="N184" s="64">
        <f t="shared" si="47"/>
        <v>0.38183705890818753</v>
      </c>
      <c r="O184" s="63">
        <f t="shared" si="48"/>
        <v>0</v>
      </c>
      <c r="P184">
        <f t="shared" si="49"/>
        <v>0</v>
      </c>
      <c r="Q184" t="e">
        <f t="shared" si="50"/>
        <v>#DIV/0!</v>
      </c>
      <c r="R184" s="64" t="e">
        <f t="shared" si="51"/>
        <v>#DIV/0!</v>
      </c>
    </row>
    <row r="185" spans="1:18" x14ac:dyDescent="0.2">
      <c r="A185" s="62">
        <f t="shared" si="35"/>
        <v>2.9000000000000001E-2</v>
      </c>
      <c r="B185" s="62">
        <v>45</v>
      </c>
      <c r="C185" s="63">
        <f t="shared" si="36"/>
        <v>0</v>
      </c>
      <c r="D185">
        <f t="shared" si="37"/>
        <v>0</v>
      </c>
      <c r="E185">
        <f t="shared" si="38"/>
        <v>0</v>
      </c>
      <c r="F185" s="64">
        <f t="shared" si="39"/>
        <v>0</v>
      </c>
      <c r="G185" s="63">
        <f t="shared" si="40"/>
        <v>45</v>
      </c>
      <c r="H185">
        <f t="shared" si="41"/>
        <v>12.431417422891579</v>
      </c>
      <c r="I185">
        <f t="shared" si="42"/>
        <v>1.0069543725356752E-2</v>
      </c>
      <c r="J185" s="64">
        <f t="shared" si="43"/>
        <v>0.45312946764105383</v>
      </c>
      <c r="K185" s="63">
        <f t="shared" si="44"/>
        <v>20</v>
      </c>
      <c r="L185">
        <f t="shared" si="45"/>
        <v>5.5250744101740352</v>
      </c>
      <c r="M185">
        <f t="shared" si="46"/>
        <v>8.5241692639802646E-3</v>
      </c>
      <c r="N185" s="64">
        <f t="shared" si="47"/>
        <v>0.38358761687911191</v>
      </c>
      <c r="O185" s="63">
        <f t="shared" si="48"/>
        <v>0</v>
      </c>
      <c r="P185">
        <f t="shared" si="49"/>
        <v>0</v>
      </c>
      <c r="Q185" t="e">
        <f t="shared" si="50"/>
        <v>#DIV/0!</v>
      </c>
      <c r="R185" s="64" t="e">
        <f t="shared" si="51"/>
        <v>#DIV/0!</v>
      </c>
    </row>
    <row r="186" spans="1:18" x14ac:dyDescent="0.2">
      <c r="A186" s="62">
        <f t="shared" si="35"/>
        <v>2.8750000000000001E-2</v>
      </c>
      <c r="B186" s="62">
        <v>46</v>
      </c>
      <c r="C186" s="63">
        <f t="shared" si="36"/>
        <v>0</v>
      </c>
      <c r="D186">
        <f t="shared" si="37"/>
        <v>0</v>
      </c>
      <c r="E186">
        <f t="shared" si="38"/>
        <v>0</v>
      </c>
      <c r="F186" s="64">
        <f t="shared" si="39"/>
        <v>0</v>
      </c>
      <c r="G186" s="63">
        <f t="shared" si="40"/>
        <v>45</v>
      </c>
      <c r="H186">
        <f t="shared" si="41"/>
        <v>12.216857146572622</v>
      </c>
      <c r="I186">
        <f t="shared" si="42"/>
        <v>9.8957482513072764E-3</v>
      </c>
      <c r="J186" s="64">
        <f t="shared" si="43"/>
        <v>0.45520441956013469</v>
      </c>
      <c r="K186" s="63">
        <f t="shared" si="44"/>
        <v>20</v>
      </c>
      <c r="L186">
        <f t="shared" si="45"/>
        <v>5.4297142873656101</v>
      </c>
      <c r="M186">
        <f t="shared" si="46"/>
        <v>8.3770462087040982E-3</v>
      </c>
      <c r="N186" s="64">
        <f t="shared" si="47"/>
        <v>0.3853441256003885</v>
      </c>
      <c r="O186" s="63">
        <f t="shared" si="48"/>
        <v>0</v>
      </c>
      <c r="P186">
        <f t="shared" si="49"/>
        <v>0</v>
      </c>
      <c r="Q186" t="e">
        <f t="shared" si="50"/>
        <v>#DIV/0!</v>
      </c>
      <c r="R186" s="64" t="e">
        <f t="shared" si="51"/>
        <v>#DIV/0!</v>
      </c>
    </row>
    <row r="187" spans="1:18" x14ac:dyDescent="0.2">
      <c r="A187" s="62">
        <f t="shared" si="35"/>
        <v>2.8500000000000001E-2</v>
      </c>
      <c r="B187" s="62">
        <v>47</v>
      </c>
      <c r="C187" s="63">
        <f t="shared" si="36"/>
        <v>0</v>
      </c>
      <c r="D187">
        <f t="shared" si="37"/>
        <v>0</v>
      </c>
      <c r="E187">
        <f t="shared" si="38"/>
        <v>0</v>
      </c>
      <c r="F187" s="64">
        <f t="shared" si="39"/>
        <v>0</v>
      </c>
      <c r="G187" s="63">
        <f t="shared" si="40"/>
        <v>45</v>
      </c>
      <c r="H187">
        <f t="shared" si="41"/>
        <v>12.011869363461075</v>
      </c>
      <c r="I187">
        <f t="shared" si="42"/>
        <v>9.7297065703799909E-3</v>
      </c>
      <c r="J187" s="64">
        <f t="shared" si="43"/>
        <v>0.45729620880785959</v>
      </c>
      <c r="K187" s="63">
        <f t="shared" si="44"/>
        <v>20</v>
      </c>
      <c r="L187">
        <f t="shared" si="45"/>
        <v>5.3386086059827003</v>
      </c>
      <c r="M187">
        <f t="shared" si="46"/>
        <v>8.236486970698521E-3</v>
      </c>
      <c r="N187" s="64">
        <f t="shared" si="47"/>
        <v>0.38711488762283047</v>
      </c>
      <c r="O187" s="63">
        <f t="shared" si="48"/>
        <v>0</v>
      </c>
      <c r="P187">
        <f t="shared" si="49"/>
        <v>0</v>
      </c>
      <c r="Q187" t="e">
        <f t="shared" si="50"/>
        <v>#DIV/0!</v>
      </c>
      <c r="R187" s="64" t="e">
        <f t="shared" si="51"/>
        <v>#DIV/0!</v>
      </c>
    </row>
    <row r="188" spans="1:18" x14ac:dyDescent="0.2">
      <c r="A188" s="62">
        <f t="shared" si="35"/>
        <v>2.8250000000000001E-2</v>
      </c>
      <c r="B188" s="62">
        <v>48</v>
      </c>
      <c r="C188" s="63">
        <f t="shared" si="36"/>
        <v>0</v>
      </c>
      <c r="D188">
        <f t="shared" si="37"/>
        <v>0</v>
      </c>
      <c r="E188">
        <f t="shared" si="38"/>
        <v>0</v>
      </c>
      <c r="F188" s="64">
        <f t="shared" si="39"/>
        <v>0</v>
      </c>
      <c r="G188" s="63">
        <f t="shared" si="40"/>
        <v>45</v>
      </c>
      <c r="H188">
        <f t="shared" si="41"/>
        <v>11.816096825169652</v>
      </c>
      <c r="I188">
        <f t="shared" si="42"/>
        <v>9.5711293086335157E-3</v>
      </c>
      <c r="J188" s="64">
        <f t="shared" si="43"/>
        <v>0.45941420681440875</v>
      </c>
      <c r="K188" s="63">
        <f t="shared" si="44"/>
        <v>20</v>
      </c>
      <c r="L188">
        <f t="shared" si="45"/>
        <v>5.2515985889642893</v>
      </c>
      <c r="M188">
        <f t="shared" si="46"/>
        <v>8.1022465862865076E-3</v>
      </c>
      <c r="N188" s="64">
        <f t="shared" si="47"/>
        <v>0.38890783614175239</v>
      </c>
      <c r="O188" s="63">
        <f t="shared" si="48"/>
        <v>0</v>
      </c>
      <c r="P188">
        <f t="shared" si="49"/>
        <v>0</v>
      </c>
      <c r="Q188" t="e">
        <f t="shared" si="50"/>
        <v>#DIV/0!</v>
      </c>
      <c r="R188" s="64" t="e">
        <f t="shared" si="51"/>
        <v>#DIV/0!</v>
      </c>
    </row>
    <row r="189" spans="1:18" x14ac:dyDescent="0.2">
      <c r="A189" s="62">
        <f t="shared" si="35"/>
        <v>2.8000000000000001E-2</v>
      </c>
      <c r="B189" s="62">
        <v>49</v>
      </c>
      <c r="C189" s="63">
        <f t="shared" si="36"/>
        <v>0</v>
      </c>
      <c r="D189">
        <f t="shared" si="37"/>
        <v>0</v>
      </c>
      <c r="E189">
        <f t="shared" si="38"/>
        <v>0</v>
      </c>
      <c r="F189" s="64">
        <f t="shared" si="39"/>
        <v>0</v>
      </c>
      <c r="G189" s="63">
        <f t="shared" si="40"/>
        <v>45</v>
      </c>
      <c r="H189">
        <f t="shared" si="41"/>
        <v>11.629201495611241</v>
      </c>
      <c r="I189">
        <f t="shared" si="42"/>
        <v>9.4197426542373796E-3</v>
      </c>
      <c r="J189" s="64">
        <f t="shared" si="43"/>
        <v>0.46156739005763159</v>
      </c>
      <c r="K189" s="63">
        <f t="shared" si="44"/>
        <v>20</v>
      </c>
      <c r="L189">
        <f t="shared" si="45"/>
        <v>5.1685339980494405</v>
      </c>
      <c r="M189">
        <f t="shared" si="46"/>
        <v>7.9740932655823354E-3</v>
      </c>
      <c r="N189" s="64">
        <f t="shared" si="47"/>
        <v>0.39073057001353445</v>
      </c>
      <c r="O189" s="63">
        <f t="shared" si="48"/>
        <v>0</v>
      </c>
      <c r="P189">
        <f t="shared" si="49"/>
        <v>0</v>
      </c>
      <c r="Q189" t="e">
        <f t="shared" si="50"/>
        <v>#DIV/0!</v>
      </c>
      <c r="R189" s="64" t="e">
        <f t="shared" si="51"/>
        <v>#DIV/0!</v>
      </c>
    </row>
    <row r="190" spans="1:18" x14ac:dyDescent="0.2">
      <c r="A190" s="62">
        <f t="shared" si="35"/>
        <v>2.775E-2</v>
      </c>
      <c r="B190" s="62">
        <v>50</v>
      </c>
      <c r="C190" s="63">
        <f t="shared" si="36"/>
        <v>0</v>
      </c>
      <c r="D190">
        <f t="shared" si="37"/>
        <v>0</v>
      </c>
      <c r="E190">
        <f t="shared" si="38"/>
        <v>0</v>
      </c>
      <c r="F190" s="64">
        <f t="shared" si="39"/>
        <v>0</v>
      </c>
      <c r="G190" s="63">
        <f t="shared" si="40"/>
        <v>1045</v>
      </c>
      <c r="H190">
        <f t="shared" si="41"/>
        <v>265.91449895371738</v>
      </c>
      <c r="I190">
        <f t="shared" si="42"/>
        <v>0.21539278936045608</v>
      </c>
      <c r="J190" s="64">
        <f t="shared" si="43"/>
        <v>10.769639468022804</v>
      </c>
      <c r="K190" s="63">
        <f t="shared" si="44"/>
        <v>1020</v>
      </c>
      <c r="L190">
        <f t="shared" si="45"/>
        <v>259.55290806965718</v>
      </c>
      <c r="M190">
        <f t="shared" si="46"/>
        <v>0.4004421944562328</v>
      </c>
      <c r="N190" s="64">
        <f t="shared" si="47"/>
        <v>20.022109722811638</v>
      </c>
      <c r="O190" s="63">
        <f t="shared" si="48"/>
        <v>0</v>
      </c>
      <c r="P190">
        <f t="shared" si="49"/>
        <v>0</v>
      </c>
      <c r="Q190" t="e">
        <f t="shared" si="50"/>
        <v>#DIV/0!</v>
      </c>
      <c r="R190" s="64" t="e">
        <f t="shared" si="51"/>
        <v>#DIV/0!</v>
      </c>
    </row>
    <row r="191" spans="1:18" x14ac:dyDescent="0.2">
      <c r="A191" s="62">
        <f t="shared" si="35"/>
        <v>2.75E-2</v>
      </c>
      <c r="B191" s="62">
        <v>51</v>
      </c>
      <c r="C191" s="63">
        <f t="shared" si="36"/>
        <v>0</v>
      </c>
      <c r="D191">
        <f t="shared" si="37"/>
        <v>0</v>
      </c>
      <c r="E191">
        <f t="shared" si="38"/>
        <v>0</v>
      </c>
      <c r="F191" s="64">
        <f t="shared" si="39"/>
        <v>0</v>
      </c>
      <c r="G191" s="63">
        <f t="shared" si="40"/>
        <v>0</v>
      </c>
      <c r="H191">
        <f t="shared" si="41"/>
        <v>0</v>
      </c>
      <c r="I191">
        <f t="shared" si="42"/>
        <v>0</v>
      </c>
      <c r="J191" s="64">
        <f t="shared" si="43"/>
        <v>0</v>
      </c>
      <c r="K191" s="63">
        <f t="shared" si="44"/>
        <v>0</v>
      </c>
      <c r="L191">
        <f t="shared" si="45"/>
        <v>0</v>
      </c>
      <c r="M191">
        <f t="shared" si="46"/>
        <v>0</v>
      </c>
      <c r="N191" s="64">
        <f t="shared" si="47"/>
        <v>0</v>
      </c>
      <c r="O191" s="63">
        <f t="shared" si="48"/>
        <v>0</v>
      </c>
      <c r="P191">
        <f t="shared" si="49"/>
        <v>0</v>
      </c>
      <c r="Q191" t="e">
        <f t="shared" si="50"/>
        <v>#DIV/0!</v>
      </c>
      <c r="R191" s="64" t="e">
        <f t="shared" si="51"/>
        <v>#DIV/0!</v>
      </c>
    </row>
    <row r="192" spans="1:18" x14ac:dyDescent="0.2">
      <c r="A192" s="62">
        <f t="shared" si="35"/>
        <v>2.725E-2</v>
      </c>
      <c r="B192" s="62">
        <v>52</v>
      </c>
      <c r="C192" s="63">
        <f t="shared" si="36"/>
        <v>0</v>
      </c>
      <c r="D192">
        <f t="shared" si="37"/>
        <v>0</v>
      </c>
      <c r="E192">
        <f t="shared" si="38"/>
        <v>0</v>
      </c>
      <c r="F192" s="64">
        <f t="shared" si="39"/>
        <v>0</v>
      </c>
      <c r="G192" s="63">
        <f t="shared" si="40"/>
        <v>0</v>
      </c>
      <c r="H192">
        <f t="shared" si="41"/>
        <v>0</v>
      </c>
      <c r="I192">
        <f t="shared" si="42"/>
        <v>0</v>
      </c>
      <c r="J192" s="64">
        <f t="shared" si="43"/>
        <v>0</v>
      </c>
      <c r="K192" s="63">
        <f t="shared" si="44"/>
        <v>0</v>
      </c>
      <c r="L192">
        <f t="shared" si="45"/>
        <v>0</v>
      </c>
      <c r="M192">
        <f t="shared" si="46"/>
        <v>0</v>
      </c>
      <c r="N192" s="64">
        <f t="shared" si="47"/>
        <v>0</v>
      </c>
      <c r="O192" s="63">
        <f t="shared" si="48"/>
        <v>0</v>
      </c>
      <c r="P192">
        <f t="shared" si="49"/>
        <v>0</v>
      </c>
      <c r="Q192" t="e">
        <f t="shared" si="50"/>
        <v>#DIV/0!</v>
      </c>
      <c r="R192" s="64" t="e">
        <f t="shared" si="51"/>
        <v>#DIV/0!</v>
      </c>
    </row>
    <row r="193" spans="1:18" x14ac:dyDescent="0.2">
      <c r="A193" s="62">
        <f t="shared" si="35"/>
        <v>2.7E-2</v>
      </c>
      <c r="B193" s="62">
        <v>53</v>
      </c>
      <c r="C193" s="63">
        <f t="shared" si="36"/>
        <v>0</v>
      </c>
      <c r="D193">
        <f t="shared" si="37"/>
        <v>0</v>
      </c>
      <c r="E193">
        <f t="shared" si="38"/>
        <v>0</v>
      </c>
      <c r="F193" s="64">
        <f t="shared" si="39"/>
        <v>0</v>
      </c>
      <c r="G193" s="63">
        <f t="shared" si="40"/>
        <v>0</v>
      </c>
      <c r="H193">
        <f t="shared" si="41"/>
        <v>0</v>
      </c>
      <c r="I193">
        <f t="shared" si="42"/>
        <v>0</v>
      </c>
      <c r="J193" s="64">
        <f t="shared" si="43"/>
        <v>0</v>
      </c>
      <c r="K193" s="63">
        <f t="shared" si="44"/>
        <v>0</v>
      </c>
      <c r="L193">
        <f t="shared" si="45"/>
        <v>0</v>
      </c>
      <c r="M193">
        <f t="shared" si="46"/>
        <v>0</v>
      </c>
      <c r="N193" s="64">
        <f t="shared" si="47"/>
        <v>0</v>
      </c>
      <c r="O193" s="63">
        <f t="shared" si="48"/>
        <v>0</v>
      </c>
      <c r="P193">
        <f t="shared" si="49"/>
        <v>0</v>
      </c>
      <c r="Q193" t="e">
        <f t="shared" si="50"/>
        <v>#DIV/0!</v>
      </c>
      <c r="R193" s="64" t="e">
        <f t="shared" si="51"/>
        <v>#DIV/0!</v>
      </c>
    </row>
    <row r="194" spans="1:18" x14ac:dyDescent="0.2">
      <c r="A194" s="62">
        <f t="shared" si="35"/>
        <v>2.6750000000000003E-2</v>
      </c>
      <c r="B194" s="62">
        <v>54</v>
      </c>
      <c r="C194" s="63">
        <f t="shared" si="36"/>
        <v>0</v>
      </c>
      <c r="D194">
        <f t="shared" si="37"/>
        <v>0</v>
      </c>
      <c r="E194">
        <f t="shared" si="38"/>
        <v>0</v>
      </c>
      <c r="F194" s="64">
        <f t="shared" si="39"/>
        <v>0</v>
      </c>
      <c r="G194" s="63">
        <f t="shared" si="40"/>
        <v>0</v>
      </c>
      <c r="H194">
        <f t="shared" si="41"/>
        <v>0</v>
      </c>
      <c r="I194">
        <f t="shared" si="42"/>
        <v>0</v>
      </c>
      <c r="J194" s="64">
        <f t="shared" si="43"/>
        <v>0</v>
      </c>
      <c r="K194" s="63">
        <f t="shared" si="44"/>
        <v>0</v>
      </c>
      <c r="L194">
        <f t="shared" si="45"/>
        <v>0</v>
      </c>
      <c r="M194">
        <f t="shared" si="46"/>
        <v>0</v>
      </c>
      <c r="N194" s="64">
        <f t="shared" si="47"/>
        <v>0</v>
      </c>
      <c r="O194" s="63">
        <f t="shared" si="48"/>
        <v>0</v>
      </c>
      <c r="P194">
        <f t="shared" si="49"/>
        <v>0</v>
      </c>
      <c r="Q194" t="e">
        <f t="shared" si="50"/>
        <v>#DIV/0!</v>
      </c>
      <c r="R194" s="64" t="e">
        <f t="shared" si="51"/>
        <v>#DIV/0!</v>
      </c>
    </row>
    <row r="195" spans="1:18" x14ac:dyDescent="0.2">
      <c r="A195" s="62">
        <f t="shared" si="35"/>
        <v>2.6500000000000003E-2</v>
      </c>
      <c r="B195" s="62">
        <v>55</v>
      </c>
      <c r="C195" s="63">
        <f t="shared" si="36"/>
        <v>0</v>
      </c>
      <c r="D195">
        <f t="shared" si="37"/>
        <v>0</v>
      </c>
      <c r="E195">
        <f t="shared" si="38"/>
        <v>0</v>
      </c>
      <c r="F195" s="64">
        <f t="shared" si="39"/>
        <v>0</v>
      </c>
      <c r="G195" s="63">
        <f t="shared" si="40"/>
        <v>0</v>
      </c>
      <c r="H195">
        <f t="shared" si="41"/>
        <v>0</v>
      </c>
      <c r="I195">
        <f t="shared" si="42"/>
        <v>0</v>
      </c>
      <c r="J195" s="64">
        <f t="shared" si="43"/>
        <v>0</v>
      </c>
      <c r="K195" s="63">
        <f t="shared" si="44"/>
        <v>0</v>
      </c>
      <c r="L195">
        <f t="shared" si="45"/>
        <v>0</v>
      </c>
      <c r="M195">
        <f t="shared" si="46"/>
        <v>0</v>
      </c>
      <c r="N195" s="64">
        <f t="shared" si="47"/>
        <v>0</v>
      </c>
      <c r="O195" s="63">
        <f t="shared" si="48"/>
        <v>0</v>
      </c>
      <c r="P195">
        <f t="shared" si="49"/>
        <v>0</v>
      </c>
      <c r="Q195" t="e">
        <f t="shared" si="50"/>
        <v>#DIV/0!</v>
      </c>
      <c r="R195" s="64" t="e">
        <f t="shared" si="51"/>
        <v>#DIV/0!</v>
      </c>
    </row>
    <row r="196" spans="1:18" x14ac:dyDescent="0.2">
      <c r="A196" s="62">
        <f t="shared" si="35"/>
        <v>2.6250000000000002E-2</v>
      </c>
      <c r="B196" s="62">
        <v>56</v>
      </c>
      <c r="C196" s="63">
        <f t="shared" si="36"/>
        <v>0</v>
      </c>
      <c r="D196">
        <f t="shared" si="37"/>
        <v>0</v>
      </c>
      <c r="E196">
        <f t="shared" si="38"/>
        <v>0</v>
      </c>
      <c r="F196" s="64">
        <f t="shared" si="39"/>
        <v>0</v>
      </c>
      <c r="G196" s="63">
        <f t="shared" si="40"/>
        <v>0</v>
      </c>
      <c r="H196">
        <f t="shared" si="41"/>
        <v>0</v>
      </c>
      <c r="I196">
        <f t="shared" si="42"/>
        <v>0</v>
      </c>
      <c r="J196" s="64">
        <f t="shared" si="43"/>
        <v>0</v>
      </c>
      <c r="K196" s="63">
        <f t="shared" si="44"/>
        <v>0</v>
      </c>
      <c r="L196">
        <f t="shared" si="45"/>
        <v>0</v>
      </c>
      <c r="M196">
        <f t="shared" si="46"/>
        <v>0</v>
      </c>
      <c r="N196" s="64">
        <f t="shared" si="47"/>
        <v>0</v>
      </c>
      <c r="O196" s="63">
        <f t="shared" si="48"/>
        <v>0</v>
      </c>
      <c r="P196">
        <f t="shared" si="49"/>
        <v>0</v>
      </c>
      <c r="Q196" t="e">
        <f t="shared" si="50"/>
        <v>#DIV/0!</v>
      </c>
      <c r="R196" s="64" t="e">
        <f t="shared" si="51"/>
        <v>#DIV/0!</v>
      </c>
    </row>
    <row r="197" spans="1:18" x14ac:dyDescent="0.2">
      <c r="A197" s="62">
        <f t="shared" si="35"/>
        <v>2.6000000000000002E-2</v>
      </c>
      <c r="B197" s="62">
        <v>57</v>
      </c>
      <c r="C197" s="63">
        <f t="shared" si="36"/>
        <v>0</v>
      </c>
      <c r="D197">
        <f t="shared" si="37"/>
        <v>0</v>
      </c>
      <c r="E197">
        <f t="shared" si="38"/>
        <v>0</v>
      </c>
      <c r="F197" s="64">
        <f t="shared" si="39"/>
        <v>0</v>
      </c>
      <c r="G197" s="63">
        <f t="shared" si="40"/>
        <v>0</v>
      </c>
      <c r="H197">
        <f t="shared" si="41"/>
        <v>0</v>
      </c>
      <c r="I197">
        <f t="shared" si="42"/>
        <v>0</v>
      </c>
      <c r="J197" s="64">
        <f t="shared" si="43"/>
        <v>0</v>
      </c>
      <c r="K197" s="63">
        <f t="shared" si="44"/>
        <v>0</v>
      </c>
      <c r="L197">
        <f t="shared" si="45"/>
        <v>0</v>
      </c>
      <c r="M197">
        <f t="shared" si="46"/>
        <v>0</v>
      </c>
      <c r="N197" s="64">
        <f t="shared" si="47"/>
        <v>0</v>
      </c>
      <c r="O197" s="63">
        <f t="shared" si="48"/>
        <v>0</v>
      </c>
      <c r="P197">
        <f t="shared" si="49"/>
        <v>0</v>
      </c>
      <c r="Q197" t="e">
        <f t="shared" si="50"/>
        <v>#DIV/0!</v>
      </c>
      <c r="R197" s="64" t="e">
        <f t="shared" si="51"/>
        <v>#DIV/0!</v>
      </c>
    </row>
    <row r="198" spans="1:18" x14ac:dyDescent="0.2">
      <c r="A198" s="62">
        <f t="shared" si="35"/>
        <v>2.5750000000000002E-2</v>
      </c>
      <c r="B198" s="62">
        <v>58</v>
      </c>
      <c r="C198" s="63">
        <f t="shared" si="36"/>
        <v>0</v>
      </c>
      <c r="D198">
        <f t="shared" si="37"/>
        <v>0</v>
      </c>
      <c r="E198">
        <f t="shared" si="38"/>
        <v>0</v>
      </c>
      <c r="F198" s="64">
        <f t="shared" si="39"/>
        <v>0</v>
      </c>
      <c r="G198" s="63">
        <f t="shared" si="40"/>
        <v>0</v>
      </c>
      <c r="H198">
        <f t="shared" si="41"/>
        <v>0</v>
      </c>
      <c r="I198">
        <f t="shared" si="42"/>
        <v>0</v>
      </c>
      <c r="J198" s="64">
        <f t="shared" si="43"/>
        <v>0</v>
      </c>
      <c r="K198" s="63">
        <f t="shared" si="44"/>
        <v>0</v>
      </c>
      <c r="L198">
        <f t="shared" si="45"/>
        <v>0</v>
      </c>
      <c r="M198">
        <f t="shared" si="46"/>
        <v>0</v>
      </c>
      <c r="N198" s="64">
        <f t="shared" si="47"/>
        <v>0</v>
      </c>
      <c r="O198" s="63">
        <f t="shared" si="48"/>
        <v>0</v>
      </c>
      <c r="P198">
        <f t="shared" si="49"/>
        <v>0</v>
      </c>
      <c r="Q198" t="e">
        <f t="shared" si="50"/>
        <v>#DIV/0!</v>
      </c>
      <c r="R198" s="64" t="e">
        <f t="shared" si="51"/>
        <v>#DIV/0!</v>
      </c>
    </row>
    <row r="199" spans="1:18" x14ac:dyDescent="0.2">
      <c r="A199" s="62">
        <f t="shared" si="35"/>
        <v>2.5500000000000002E-2</v>
      </c>
      <c r="B199" s="62">
        <v>59</v>
      </c>
      <c r="C199" s="63">
        <f t="shared" si="36"/>
        <v>0</v>
      </c>
      <c r="D199">
        <f t="shared" si="37"/>
        <v>0</v>
      </c>
      <c r="E199">
        <f t="shared" si="38"/>
        <v>0</v>
      </c>
      <c r="F199" s="64">
        <f t="shared" si="39"/>
        <v>0</v>
      </c>
      <c r="G199" s="63">
        <f t="shared" si="40"/>
        <v>0</v>
      </c>
      <c r="H199">
        <f t="shared" si="41"/>
        <v>0</v>
      </c>
      <c r="I199">
        <f t="shared" si="42"/>
        <v>0</v>
      </c>
      <c r="J199" s="64">
        <f t="shared" si="43"/>
        <v>0</v>
      </c>
      <c r="K199" s="63">
        <f t="shared" si="44"/>
        <v>0</v>
      </c>
      <c r="L199">
        <f t="shared" si="45"/>
        <v>0</v>
      </c>
      <c r="M199">
        <f t="shared" si="46"/>
        <v>0</v>
      </c>
      <c r="N199" s="64">
        <f t="shared" si="47"/>
        <v>0</v>
      </c>
      <c r="O199" s="63">
        <f t="shared" si="48"/>
        <v>0</v>
      </c>
      <c r="P199">
        <f t="shared" si="49"/>
        <v>0</v>
      </c>
      <c r="Q199" t="e">
        <f t="shared" si="50"/>
        <v>#DIV/0!</v>
      </c>
      <c r="R199" s="64" t="e">
        <f t="shared" si="51"/>
        <v>#DIV/0!</v>
      </c>
    </row>
    <row r="200" spans="1:18" ht="16" thickBot="1" x14ac:dyDescent="0.25">
      <c r="A200" s="62">
        <f t="shared" si="35"/>
        <v>2.5250000000000002E-2</v>
      </c>
      <c r="B200" s="65">
        <v>60</v>
      </c>
      <c r="C200" s="66">
        <f t="shared" si="36"/>
        <v>0</v>
      </c>
      <c r="D200">
        <f t="shared" si="37"/>
        <v>0</v>
      </c>
      <c r="E200" s="67">
        <f t="shared" si="38"/>
        <v>0</v>
      </c>
      <c r="F200" s="68">
        <f t="shared" si="39"/>
        <v>0</v>
      </c>
      <c r="G200" s="66">
        <f t="shared" si="40"/>
        <v>0</v>
      </c>
      <c r="H200">
        <f t="shared" si="41"/>
        <v>0</v>
      </c>
      <c r="I200" s="67">
        <f t="shared" si="42"/>
        <v>0</v>
      </c>
      <c r="J200" s="68">
        <f t="shared" si="43"/>
        <v>0</v>
      </c>
      <c r="K200" s="63">
        <f t="shared" si="44"/>
        <v>0</v>
      </c>
      <c r="L200">
        <f t="shared" si="45"/>
        <v>0</v>
      </c>
      <c r="M200">
        <f t="shared" si="46"/>
        <v>0</v>
      </c>
      <c r="N200" s="64">
        <f t="shared" si="47"/>
        <v>0</v>
      </c>
      <c r="O200" s="63">
        <f t="shared" si="48"/>
        <v>0</v>
      </c>
      <c r="P200">
        <f t="shared" si="49"/>
        <v>0</v>
      </c>
      <c r="Q200" t="e">
        <f t="shared" si="50"/>
        <v>#DIV/0!</v>
      </c>
      <c r="R200" s="64" t="e">
        <f t="shared" si="51"/>
        <v>#DIV/0!</v>
      </c>
    </row>
  </sheetData>
  <mergeCells count="15">
    <mergeCell ref="C139:F139"/>
    <mergeCell ref="G139:J139"/>
    <mergeCell ref="K139:N139"/>
    <mergeCell ref="O139:R139"/>
    <mergeCell ref="B1:E1"/>
    <mergeCell ref="F1:I1"/>
    <mergeCell ref="J1:M1"/>
    <mergeCell ref="C13:F13"/>
    <mergeCell ref="G13:J13"/>
    <mergeCell ref="K13:N13"/>
    <mergeCell ref="O13:R13"/>
    <mergeCell ref="C76:F76"/>
    <mergeCell ref="G76:J76"/>
    <mergeCell ref="K76:N76"/>
    <mergeCell ref="O76:R7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showGridLines="0" workbookViewId="0">
      <selection sqref="A1:I1"/>
    </sheetView>
  </sheetViews>
  <sheetFormatPr baseColWidth="10" defaultColWidth="8.83203125" defaultRowHeight="15" x14ac:dyDescent="0.2"/>
  <cols>
    <col min="1" max="1" width="10" customWidth="1"/>
    <col min="2" max="2" width="16" customWidth="1"/>
    <col min="3" max="4" width="14" customWidth="1"/>
    <col min="5" max="5" width="12" customWidth="1"/>
    <col min="6" max="6" width="14" customWidth="1"/>
    <col min="8" max="8" width="30" customWidth="1"/>
    <col min="9" max="9" width="14" customWidth="1"/>
  </cols>
  <sheetData>
    <row r="1" spans="1:9" ht="21" x14ac:dyDescent="0.2">
      <c r="A1" s="45" t="s">
        <v>53</v>
      </c>
      <c r="B1" s="46"/>
      <c r="C1" s="46"/>
      <c r="D1" s="46"/>
      <c r="E1" s="46"/>
      <c r="F1" s="46"/>
      <c r="G1" s="46"/>
      <c r="H1" s="46"/>
      <c r="I1" s="46"/>
    </row>
    <row r="3" spans="1:9" ht="16" x14ac:dyDescent="0.2">
      <c r="A3" s="48" t="s">
        <v>54</v>
      </c>
      <c r="B3" s="46"/>
      <c r="C3" s="46"/>
      <c r="H3" s="48" t="s">
        <v>55</v>
      </c>
      <c r="I3" s="46"/>
    </row>
    <row r="4" spans="1:9" x14ac:dyDescent="0.2">
      <c r="B4" s="17" t="s">
        <v>56</v>
      </c>
      <c r="C4" s="12">
        <v>1000</v>
      </c>
      <c r="H4" s="17" t="s">
        <v>57</v>
      </c>
      <c r="I4" s="18">
        <f>SUM(F13:F16)</f>
        <v>3.6666954517517727</v>
      </c>
    </row>
    <row r="5" spans="1:9" x14ac:dyDescent="0.2">
      <c r="B5" s="17" t="s">
        <v>58</v>
      </c>
      <c r="C5" s="9">
        <v>0.06</v>
      </c>
      <c r="H5" s="17" t="s">
        <v>59</v>
      </c>
      <c r="I5" s="18">
        <f>I4/(1+$C$6)</f>
        <v>3.4268181792072641</v>
      </c>
    </row>
    <row r="6" spans="1:9" x14ac:dyDescent="0.2">
      <c r="B6" s="17" t="s">
        <v>36</v>
      </c>
      <c r="C6" s="9">
        <v>7.0000000000000007E-2</v>
      </c>
      <c r="H6" s="17" t="s">
        <v>60</v>
      </c>
      <c r="I6" s="9">
        <v>0.01</v>
      </c>
    </row>
    <row r="7" spans="1:9" x14ac:dyDescent="0.2">
      <c r="B7" s="17" t="s">
        <v>35</v>
      </c>
      <c r="C7" s="19">
        <v>4</v>
      </c>
      <c r="H7" s="17" t="s">
        <v>61</v>
      </c>
      <c r="I7" s="13">
        <f>-PV($C$6+$I$6,$C$7,$C$8,$C$4)</f>
        <v>933.75746319911332</v>
      </c>
    </row>
    <row r="8" spans="1:9" x14ac:dyDescent="0.2">
      <c r="B8" s="17" t="s">
        <v>38</v>
      </c>
      <c r="C8" s="13">
        <f>C4*C5</f>
        <v>60</v>
      </c>
      <c r="H8" s="17" t="s">
        <v>62</v>
      </c>
      <c r="I8" s="14">
        <f>I7/$C$9-1</f>
        <v>-3.3505320214052059E-2</v>
      </c>
    </row>
    <row r="9" spans="1:9" x14ac:dyDescent="0.2">
      <c r="B9" s="17" t="s">
        <v>63</v>
      </c>
      <c r="C9" s="13">
        <f>-PV(C6,C7,C8,C4)</f>
        <v>966.12788743536078</v>
      </c>
      <c r="H9" s="17" t="s">
        <v>64</v>
      </c>
      <c r="I9" s="14">
        <f>-I5*I6</f>
        <v>-3.4268181792072638E-2</v>
      </c>
    </row>
    <row r="10" spans="1:9" x14ac:dyDescent="0.2">
      <c r="H10" s="17" t="s">
        <v>65</v>
      </c>
      <c r="I10" s="14">
        <f>I9-I8</f>
        <v>-7.6286157802057941E-4</v>
      </c>
    </row>
    <row r="11" spans="1:9" x14ac:dyDescent="0.2">
      <c r="H11" s="17" t="s">
        <v>66</v>
      </c>
      <c r="I11" s="13">
        <f>-PV($C$6-$I$6,$C$7,$C$8,$C$4)</f>
        <v>1000.0000000000001</v>
      </c>
    </row>
    <row r="12" spans="1:9" x14ac:dyDescent="0.2">
      <c r="A12" s="10" t="s">
        <v>67</v>
      </c>
      <c r="B12" s="10" t="s">
        <v>68</v>
      </c>
      <c r="C12" s="10" t="s">
        <v>69</v>
      </c>
      <c r="D12" s="10" t="s">
        <v>70</v>
      </c>
      <c r="E12" s="10" t="s">
        <v>71</v>
      </c>
      <c r="F12" s="10" t="s">
        <v>72</v>
      </c>
      <c r="H12" s="17" t="s">
        <v>73</v>
      </c>
      <c r="I12" s="14">
        <f>I11/$C$9-1</f>
        <v>3.5059657220489315E-2</v>
      </c>
    </row>
    <row r="13" spans="1:9" x14ac:dyDescent="0.2">
      <c r="A13" s="3">
        <v>1</v>
      </c>
      <c r="B13" s="13">
        <f>IF(A13&lt;$C$7,$C$8,$C$8+$C$4)</f>
        <v>60</v>
      </c>
      <c r="C13" s="5">
        <f>(1+$C$6)^A13</f>
        <v>1.07</v>
      </c>
      <c r="D13" s="13">
        <f>B13/C13</f>
        <v>56.074766355140184</v>
      </c>
      <c r="E13" s="20">
        <f>D13/$C$9</f>
        <v>5.8040728442270428E-2</v>
      </c>
      <c r="F13" s="20">
        <f>A13*E13</f>
        <v>5.8040728442270428E-2</v>
      </c>
      <c r="H13" s="17" t="s">
        <v>74</v>
      </c>
      <c r="I13" s="14">
        <f>I5*I6</f>
        <v>3.4268181792072638E-2</v>
      </c>
    </row>
    <row r="14" spans="1:9" x14ac:dyDescent="0.2">
      <c r="A14" s="3">
        <v>2</v>
      </c>
      <c r="B14" s="13">
        <f>IF(A14&lt;$C$7,$C$8,$C$8+$C$4)</f>
        <v>60</v>
      </c>
      <c r="C14" s="5">
        <f>(1+$C$6)^A14</f>
        <v>1.1449</v>
      </c>
      <c r="D14" s="13">
        <f>B14/C14</f>
        <v>52.406323696392697</v>
      </c>
      <c r="E14" s="20">
        <f>D14/$C$9</f>
        <v>5.4243671441374229E-2</v>
      </c>
      <c r="F14" s="20">
        <f>A14*E14</f>
        <v>0.10848734288274846</v>
      </c>
      <c r="H14" s="17" t="s">
        <v>75</v>
      </c>
      <c r="I14" s="14">
        <f>I13-I12</f>
        <v>-7.9147542841667695E-4</v>
      </c>
    </row>
    <row r="15" spans="1:9" x14ac:dyDescent="0.2">
      <c r="A15" s="3">
        <v>3</v>
      </c>
      <c r="B15" s="13">
        <f>IF(A15&lt;$C$7,$C$8,$C$8+$C$4)</f>
        <v>60</v>
      </c>
      <c r="C15" s="5">
        <f>(1+$C$6)^A15</f>
        <v>1.2250430000000001</v>
      </c>
      <c r="D15" s="13">
        <f>B15/C15</f>
        <v>48.977872613451119</v>
      </c>
      <c r="E15" s="20">
        <f>D15/$C$9</f>
        <v>5.0695020038667507E-2</v>
      </c>
      <c r="F15" s="20">
        <f>A15*E15</f>
        <v>0.15208506011600254</v>
      </c>
    </row>
    <row r="16" spans="1:9" x14ac:dyDescent="0.2">
      <c r="A16" s="3">
        <v>4</v>
      </c>
      <c r="B16" s="13">
        <f>IF(A16&lt;$C$7,$C$8,$C$8+$C$4)</f>
        <v>1060</v>
      </c>
      <c r="C16" s="5">
        <f>(1+$C$6)^A16</f>
        <v>1.31079601</v>
      </c>
      <c r="D16" s="13">
        <f>B16/C16</f>
        <v>808.66892477037675</v>
      </c>
      <c r="E16" s="20">
        <f>D16/$C$9</f>
        <v>0.83702058007768776</v>
      </c>
      <c r="F16" s="20">
        <f>A16*E16</f>
        <v>3.348082320310751</v>
      </c>
    </row>
    <row r="19" spans="1:9" ht="48" customHeight="1" x14ac:dyDescent="0.2">
      <c r="A19" s="1" t="s">
        <v>76</v>
      </c>
      <c r="B19" s="47" t="s">
        <v>77</v>
      </c>
      <c r="C19" s="46"/>
      <c r="D19" s="46"/>
      <c r="E19" s="46"/>
      <c r="F19" s="46"/>
      <c r="G19" s="46"/>
      <c r="H19" s="46"/>
      <c r="I19" s="46"/>
    </row>
    <row r="20" spans="1:9" ht="24" customHeight="1" x14ac:dyDescent="0.2">
      <c r="B20" s="46"/>
      <c r="C20" s="46"/>
      <c r="D20" s="46"/>
      <c r="E20" s="46"/>
      <c r="F20" s="46"/>
      <c r="G20" s="46"/>
      <c r="H20" s="46"/>
      <c r="I20" s="46"/>
    </row>
    <row r="21" spans="1:9" ht="24" customHeight="1" x14ac:dyDescent="0.2">
      <c r="B21" s="46"/>
      <c r="C21" s="46"/>
      <c r="D21" s="46"/>
      <c r="E21" s="46"/>
      <c r="F21" s="46"/>
      <c r="G21" s="46"/>
      <c r="H21" s="46"/>
      <c r="I21" s="46"/>
    </row>
  </sheetData>
  <mergeCells count="4">
    <mergeCell ref="A1:I1"/>
    <mergeCell ref="B19:I21"/>
    <mergeCell ref="A3:C3"/>
    <mergeCell ref="H3:I3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2"/>
  <sheetViews>
    <sheetView showGridLines="0" workbookViewId="0">
      <selection sqref="A1:AA1"/>
    </sheetView>
  </sheetViews>
  <sheetFormatPr baseColWidth="10" defaultColWidth="8.83203125" defaultRowHeight="15" x14ac:dyDescent="0.2"/>
  <cols>
    <col min="1" max="1" width="28" customWidth="1"/>
    <col min="2" max="2" width="13" customWidth="1"/>
    <col min="3" max="4" width="12" customWidth="1"/>
    <col min="5" max="5" width="14" customWidth="1"/>
    <col min="6" max="7" width="16" customWidth="1"/>
    <col min="8" max="27" width="9" customWidth="1"/>
  </cols>
  <sheetData>
    <row r="1" spans="1:27" ht="21" x14ac:dyDescent="0.2">
      <c r="A1" s="45" t="s">
        <v>78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</row>
    <row r="3" spans="1:27" ht="16" x14ac:dyDescent="0.2">
      <c r="A3" s="48" t="s">
        <v>79</v>
      </c>
      <c r="B3" s="46"/>
      <c r="C3" s="46"/>
      <c r="D3" s="46"/>
      <c r="E3" s="46"/>
      <c r="F3" s="46"/>
      <c r="G3" s="46"/>
      <c r="H3" s="1" t="s">
        <v>80</v>
      </c>
    </row>
    <row r="4" spans="1:27" x14ac:dyDescent="0.2">
      <c r="A4" s="10" t="s">
        <v>81</v>
      </c>
      <c r="B4" s="10" t="s">
        <v>58</v>
      </c>
      <c r="C4" s="10" t="s">
        <v>36</v>
      </c>
      <c r="D4" s="10" t="s">
        <v>82</v>
      </c>
      <c r="E4" s="10" t="s">
        <v>63</v>
      </c>
      <c r="F4" s="10" t="s">
        <v>57</v>
      </c>
      <c r="G4" s="10" t="s">
        <v>59</v>
      </c>
      <c r="H4" s="21">
        <v>1</v>
      </c>
      <c r="I4" s="21">
        <v>2</v>
      </c>
      <c r="J4" s="21">
        <v>3</v>
      </c>
      <c r="K4" s="21">
        <v>4</v>
      </c>
      <c r="L4" s="21">
        <v>5</v>
      </c>
      <c r="M4" s="21">
        <v>6</v>
      </c>
      <c r="N4" s="21">
        <v>7</v>
      </c>
      <c r="O4" s="21">
        <v>8</v>
      </c>
      <c r="P4" s="21">
        <v>9</v>
      </c>
      <c r="Q4" s="21">
        <v>10</v>
      </c>
      <c r="R4" s="21">
        <v>11</v>
      </c>
      <c r="S4" s="21">
        <v>12</v>
      </c>
      <c r="T4" s="21">
        <v>13</v>
      </c>
      <c r="U4" s="21">
        <v>14</v>
      </c>
      <c r="V4" s="21">
        <v>15</v>
      </c>
      <c r="W4" s="21">
        <v>16</v>
      </c>
      <c r="X4" s="21">
        <v>17</v>
      </c>
      <c r="Y4" s="21">
        <v>18</v>
      </c>
      <c r="Z4" s="21">
        <v>19</v>
      </c>
      <c r="AA4" s="21">
        <v>20</v>
      </c>
    </row>
    <row r="6" spans="1:27" ht="16" x14ac:dyDescent="0.2">
      <c r="A6" s="48" t="s">
        <v>83</v>
      </c>
      <c r="B6" s="46"/>
      <c r="C6" s="46"/>
      <c r="D6" s="46"/>
      <c r="E6" s="46"/>
      <c r="F6" s="46"/>
      <c r="G6" s="46"/>
    </row>
    <row r="7" spans="1:27" x14ac:dyDescent="0.2">
      <c r="A7" s="4" t="s">
        <v>84</v>
      </c>
      <c r="B7" s="11">
        <v>0.08</v>
      </c>
      <c r="C7" s="11">
        <v>0.06</v>
      </c>
      <c r="D7" s="22">
        <v>5</v>
      </c>
      <c r="E7" s="23">
        <f>SUM(H7:AA7)</f>
        <v>1084.2472757113139</v>
      </c>
      <c r="F7" s="24">
        <f>SUMPRODUCT(H7:AA7,$H$4:$AA$4)/E7</f>
        <v>4.3422233724935371</v>
      </c>
      <c r="G7" s="24">
        <f>F7/(1+C7)</f>
        <v>4.0964371438618272</v>
      </c>
      <c r="H7" s="23">
        <f t="shared" ref="H7:Q8" si="0">IF(H$4&lt;=$D7,IF(H$4=$D7,$B7*1000+1000,$B7*1000)/(1+$C7)^H$4,0)</f>
        <v>75.471698113207538</v>
      </c>
      <c r="I7" s="23">
        <f t="shared" si="0"/>
        <v>71.199715201139185</v>
      </c>
      <c r="J7" s="23">
        <f t="shared" si="0"/>
        <v>67.169542642584133</v>
      </c>
      <c r="K7" s="23">
        <f t="shared" si="0"/>
        <v>63.367493059041635</v>
      </c>
      <c r="L7" s="23">
        <f t="shared" si="0"/>
        <v>807.03882669534141</v>
      </c>
      <c r="M7" s="23">
        <f t="shared" si="0"/>
        <v>0</v>
      </c>
      <c r="N7" s="23">
        <f t="shared" si="0"/>
        <v>0</v>
      </c>
      <c r="O7" s="23">
        <f t="shared" si="0"/>
        <v>0</v>
      </c>
      <c r="P7" s="23">
        <f t="shared" si="0"/>
        <v>0</v>
      </c>
      <c r="Q7" s="23">
        <f t="shared" si="0"/>
        <v>0</v>
      </c>
      <c r="R7" s="23">
        <f t="shared" ref="R7:AA8" si="1">IF(R$4&lt;=$D7,IF(R$4=$D7,$B7*1000+1000,$B7*1000)/(1+$C7)^R$4,0)</f>
        <v>0</v>
      </c>
      <c r="S7" s="23">
        <f t="shared" si="1"/>
        <v>0</v>
      </c>
      <c r="T7" s="23">
        <f t="shared" si="1"/>
        <v>0</v>
      </c>
      <c r="U7" s="23">
        <f t="shared" si="1"/>
        <v>0</v>
      </c>
      <c r="V7" s="23">
        <f t="shared" si="1"/>
        <v>0</v>
      </c>
      <c r="W7" s="23">
        <f t="shared" si="1"/>
        <v>0</v>
      </c>
      <c r="X7" s="23">
        <f t="shared" si="1"/>
        <v>0</v>
      </c>
      <c r="Y7" s="23">
        <f t="shared" si="1"/>
        <v>0</v>
      </c>
      <c r="Z7" s="23">
        <f t="shared" si="1"/>
        <v>0</v>
      </c>
      <c r="AA7" s="23">
        <f t="shared" si="1"/>
        <v>0</v>
      </c>
    </row>
    <row r="8" spans="1:27" x14ac:dyDescent="0.2">
      <c r="A8" s="4" t="s">
        <v>85</v>
      </c>
      <c r="B8" s="11">
        <v>0.08</v>
      </c>
      <c r="C8" s="11">
        <v>0.06</v>
      </c>
      <c r="D8" s="22">
        <v>20</v>
      </c>
      <c r="E8" s="23">
        <f>SUM(H8:AA8)</f>
        <v>1229.3984243713044</v>
      </c>
      <c r="F8" s="24">
        <f>SUMPRODUCT(H8:AA8,$H$4:$AA$4)/E8</f>
        <v>11.495153669886912</v>
      </c>
      <c r="G8" s="24">
        <f>F8/(1+C8)</f>
        <v>10.844484594232936</v>
      </c>
      <c r="H8" s="23">
        <f t="shared" si="0"/>
        <v>75.471698113207538</v>
      </c>
      <c r="I8" s="23">
        <f t="shared" si="0"/>
        <v>71.199715201139185</v>
      </c>
      <c r="J8" s="23">
        <f t="shared" si="0"/>
        <v>67.169542642584133</v>
      </c>
      <c r="K8" s="23">
        <f t="shared" si="0"/>
        <v>63.367493059041635</v>
      </c>
      <c r="L8" s="23">
        <f t="shared" si="0"/>
        <v>59.780653829284553</v>
      </c>
      <c r="M8" s="23">
        <f t="shared" si="0"/>
        <v>56.396843235174103</v>
      </c>
      <c r="N8" s="23">
        <f t="shared" si="0"/>
        <v>53.204569089786879</v>
      </c>
      <c r="O8" s="23">
        <f t="shared" si="0"/>
        <v>50.192989707346122</v>
      </c>
      <c r="P8" s="23">
        <f t="shared" si="0"/>
        <v>47.351877082401998</v>
      </c>
      <c r="Q8" s="23">
        <f t="shared" si="0"/>
        <v>44.671582153209428</v>
      </c>
      <c r="R8" s="23">
        <f t="shared" si="1"/>
        <v>42.143002031329644</v>
      </c>
      <c r="S8" s="23">
        <f t="shared" si="1"/>
        <v>39.75754908616004</v>
      </c>
      <c r="T8" s="23">
        <f t="shared" si="1"/>
        <v>37.507121779396257</v>
      </c>
      <c r="U8" s="23">
        <f t="shared" si="1"/>
        <v>35.384077150373834</v>
      </c>
      <c r="V8" s="23">
        <f t="shared" si="1"/>
        <v>33.381204858843226</v>
      </c>
      <c r="W8" s="23">
        <f t="shared" si="1"/>
        <v>31.491702697021921</v>
      </c>
      <c r="X8" s="23">
        <f t="shared" si="1"/>
        <v>29.709153487756527</v>
      </c>
      <c r="Y8" s="23">
        <f t="shared" si="1"/>
        <v>28.027503290336345</v>
      </c>
      <c r="Z8" s="23">
        <f t="shared" si="1"/>
        <v>26.441040839939944</v>
      </c>
      <c r="AA8" s="23">
        <f t="shared" si="1"/>
        <v>336.749105036971</v>
      </c>
    </row>
    <row r="10" spans="1:27" ht="16" x14ac:dyDescent="0.2">
      <c r="A10" s="48" t="s">
        <v>86</v>
      </c>
      <c r="B10" s="46"/>
      <c r="C10" s="46"/>
      <c r="D10" s="46"/>
      <c r="E10" s="46"/>
      <c r="F10" s="46"/>
      <c r="G10" s="46"/>
    </row>
    <row r="11" spans="1:27" x14ac:dyDescent="0.2">
      <c r="A11" s="4" t="s">
        <v>85</v>
      </c>
      <c r="B11" s="11">
        <v>0.08</v>
      </c>
      <c r="C11" s="11">
        <v>0.06</v>
      </c>
      <c r="D11" s="22">
        <v>20</v>
      </c>
      <c r="E11" s="23">
        <f>SUM(H11:AA11)</f>
        <v>1229.3984243713044</v>
      </c>
      <c r="F11" s="24">
        <f>SUMPRODUCT(H11:AA11,$H$4:$AA$4)/E11</f>
        <v>11.495153669886912</v>
      </c>
      <c r="G11" s="24">
        <f>F11/(1+C11)</f>
        <v>10.844484594232936</v>
      </c>
      <c r="H11" s="23">
        <f t="shared" ref="H11:Q12" si="2">IF(H$4&lt;=$D11,IF(H$4=$D11,$B11*1000+1000,$B11*1000)/(1+$C11)^H$4,0)</f>
        <v>75.471698113207538</v>
      </c>
      <c r="I11" s="23">
        <f t="shared" si="2"/>
        <v>71.199715201139185</v>
      </c>
      <c r="J11" s="23">
        <f t="shared" si="2"/>
        <v>67.169542642584133</v>
      </c>
      <c r="K11" s="23">
        <f t="shared" si="2"/>
        <v>63.367493059041635</v>
      </c>
      <c r="L11" s="23">
        <f t="shared" si="2"/>
        <v>59.780653829284553</v>
      </c>
      <c r="M11" s="23">
        <f t="shared" si="2"/>
        <v>56.396843235174103</v>
      </c>
      <c r="N11" s="23">
        <f t="shared" si="2"/>
        <v>53.204569089786879</v>
      </c>
      <c r="O11" s="23">
        <f t="shared" si="2"/>
        <v>50.192989707346122</v>
      </c>
      <c r="P11" s="23">
        <f t="shared" si="2"/>
        <v>47.351877082401998</v>
      </c>
      <c r="Q11" s="23">
        <f t="shared" si="2"/>
        <v>44.671582153209428</v>
      </c>
      <c r="R11" s="23">
        <f t="shared" ref="R11:AA12" si="3">IF(R$4&lt;=$D11,IF(R$4=$D11,$B11*1000+1000,$B11*1000)/(1+$C11)^R$4,0)</f>
        <v>42.143002031329644</v>
      </c>
      <c r="S11" s="23">
        <f t="shared" si="3"/>
        <v>39.75754908616004</v>
      </c>
      <c r="T11" s="23">
        <f t="shared" si="3"/>
        <v>37.507121779396257</v>
      </c>
      <c r="U11" s="23">
        <f t="shared" si="3"/>
        <v>35.384077150373834</v>
      </c>
      <c r="V11" s="23">
        <f t="shared" si="3"/>
        <v>33.381204858843226</v>
      </c>
      <c r="W11" s="23">
        <f t="shared" si="3"/>
        <v>31.491702697021921</v>
      </c>
      <c r="X11" s="23">
        <f t="shared" si="3"/>
        <v>29.709153487756527</v>
      </c>
      <c r="Y11" s="23">
        <f t="shared" si="3"/>
        <v>28.027503290336345</v>
      </c>
      <c r="Z11" s="23">
        <f t="shared" si="3"/>
        <v>26.441040839939944</v>
      </c>
      <c r="AA11" s="23">
        <f t="shared" si="3"/>
        <v>336.749105036971</v>
      </c>
    </row>
    <row r="12" spans="1:27" x14ac:dyDescent="0.2">
      <c r="A12" s="4" t="s">
        <v>87</v>
      </c>
      <c r="B12" s="11">
        <v>0.02</v>
      </c>
      <c r="C12" s="11">
        <v>0.06</v>
      </c>
      <c r="D12" s="22">
        <v>20</v>
      </c>
      <c r="E12" s="23">
        <f>SUM(H12:AA12)</f>
        <v>541.20315125738921</v>
      </c>
      <c r="F12" s="24">
        <f>SUMPRODUCT(H12:AA12,$H$4:$AA$4)/E12</f>
        <v>15.170092481229643</v>
      </c>
      <c r="G12" s="24">
        <f>F12/(1+C12)</f>
        <v>14.311408001160039</v>
      </c>
      <c r="H12" s="23">
        <f t="shared" si="2"/>
        <v>18.867924528301884</v>
      </c>
      <c r="I12" s="23">
        <f t="shared" si="2"/>
        <v>17.799928800284796</v>
      </c>
      <c r="J12" s="23">
        <f t="shared" si="2"/>
        <v>16.792385660646033</v>
      </c>
      <c r="K12" s="23">
        <f t="shared" si="2"/>
        <v>15.841873264760409</v>
      </c>
      <c r="L12" s="23">
        <f t="shared" si="2"/>
        <v>14.945163457321138</v>
      </c>
      <c r="M12" s="23">
        <f t="shared" si="2"/>
        <v>14.099210808793526</v>
      </c>
      <c r="N12" s="23">
        <f t="shared" si="2"/>
        <v>13.30114227244672</v>
      </c>
      <c r="O12" s="23">
        <f t="shared" si="2"/>
        <v>12.54824742683653</v>
      </c>
      <c r="P12" s="23">
        <f t="shared" si="2"/>
        <v>11.8379692706005</v>
      </c>
      <c r="Q12" s="23">
        <f t="shared" si="2"/>
        <v>11.167895538302357</v>
      </c>
      <c r="R12" s="23">
        <f t="shared" si="3"/>
        <v>10.535750507832411</v>
      </c>
      <c r="S12" s="23">
        <f t="shared" si="3"/>
        <v>9.93938727154001</v>
      </c>
      <c r="T12" s="23">
        <f t="shared" si="3"/>
        <v>9.3767804448490644</v>
      </c>
      <c r="U12" s="23">
        <f t="shared" si="3"/>
        <v>8.8460192875934585</v>
      </c>
      <c r="V12" s="23">
        <f t="shared" si="3"/>
        <v>8.3453012147108065</v>
      </c>
      <c r="W12" s="23">
        <f t="shared" si="3"/>
        <v>7.8729256742554803</v>
      </c>
      <c r="X12" s="23">
        <f t="shared" si="3"/>
        <v>7.4272883719391318</v>
      </c>
      <c r="Y12" s="23">
        <f t="shared" si="3"/>
        <v>7.0068758225840861</v>
      </c>
      <c r="Z12" s="23">
        <f t="shared" si="3"/>
        <v>6.6102602099849861</v>
      </c>
      <c r="AA12" s="23">
        <f t="shared" si="3"/>
        <v>318.04082142380594</v>
      </c>
    </row>
    <row r="14" spans="1:27" ht="16" x14ac:dyDescent="0.2">
      <c r="A14" s="48" t="s">
        <v>88</v>
      </c>
      <c r="B14" s="46"/>
      <c r="C14" s="46"/>
      <c r="D14" s="46"/>
      <c r="E14" s="46"/>
      <c r="F14" s="46"/>
      <c r="G14" s="46"/>
    </row>
    <row r="15" spans="1:27" x14ac:dyDescent="0.2">
      <c r="A15" s="4" t="s">
        <v>89</v>
      </c>
      <c r="B15" s="11">
        <v>0</v>
      </c>
      <c r="C15" s="11">
        <v>0.08</v>
      </c>
      <c r="D15" s="22">
        <v>20</v>
      </c>
      <c r="E15" s="23">
        <f>SUM(H15:AA15)</f>
        <v>214.54820740405654</v>
      </c>
      <c r="F15" s="24">
        <f>SUMPRODUCT(H15:AA15,$H$4:$AA$4)/E15</f>
        <v>20</v>
      </c>
      <c r="G15" s="24">
        <f>F15/(1+C15)</f>
        <v>18.518518518518519</v>
      </c>
      <c r="H15" s="23">
        <f t="shared" ref="H15:Q16" si="4">IF(H$4&lt;=$D15,IF(H$4=$D15,$B15*1000+1000,$B15*1000)/(1+$C15)^H$4,0)</f>
        <v>0</v>
      </c>
      <c r="I15" s="23">
        <f t="shared" si="4"/>
        <v>0</v>
      </c>
      <c r="J15" s="23">
        <f t="shared" si="4"/>
        <v>0</v>
      </c>
      <c r="K15" s="23">
        <f t="shared" si="4"/>
        <v>0</v>
      </c>
      <c r="L15" s="23">
        <f t="shared" si="4"/>
        <v>0</v>
      </c>
      <c r="M15" s="23">
        <f t="shared" si="4"/>
        <v>0</v>
      </c>
      <c r="N15" s="23">
        <f t="shared" si="4"/>
        <v>0</v>
      </c>
      <c r="O15" s="23">
        <f t="shared" si="4"/>
        <v>0</v>
      </c>
      <c r="P15" s="23">
        <f t="shared" si="4"/>
        <v>0</v>
      </c>
      <c r="Q15" s="23">
        <f t="shared" si="4"/>
        <v>0</v>
      </c>
      <c r="R15" s="23">
        <f t="shared" ref="R15:AA16" si="5">IF(R$4&lt;=$D15,IF(R$4=$D15,$B15*1000+1000,$B15*1000)/(1+$C15)^R$4,0)</f>
        <v>0</v>
      </c>
      <c r="S15" s="23">
        <f t="shared" si="5"/>
        <v>0</v>
      </c>
      <c r="T15" s="23">
        <f t="shared" si="5"/>
        <v>0</v>
      </c>
      <c r="U15" s="23">
        <f t="shared" si="5"/>
        <v>0</v>
      </c>
      <c r="V15" s="23">
        <f t="shared" si="5"/>
        <v>0</v>
      </c>
      <c r="W15" s="23">
        <f t="shared" si="5"/>
        <v>0</v>
      </c>
      <c r="X15" s="23">
        <f t="shared" si="5"/>
        <v>0</v>
      </c>
      <c r="Y15" s="23">
        <f t="shared" si="5"/>
        <v>0</v>
      </c>
      <c r="Z15" s="23">
        <f t="shared" si="5"/>
        <v>0</v>
      </c>
      <c r="AA15" s="23">
        <f t="shared" si="5"/>
        <v>214.54820740405654</v>
      </c>
    </row>
    <row r="16" spans="1:27" x14ac:dyDescent="0.2">
      <c r="A16" s="4" t="s">
        <v>90</v>
      </c>
      <c r="B16" s="11">
        <v>0</v>
      </c>
      <c r="C16" s="11">
        <v>0.03</v>
      </c>
      <c r="D16" s="22">
        <v>20</v>
      </c>
      <c r="E16" s="23">
        <f>SUM(H16:AA16)</f>
        <v>553.67575418633498</v>
      </c>
      <c r="F16" s="24">
        <f>SUMPRODUCT(H16:AA16,$H$4:$AA$4)/E16</f>
        <v>20</v>
      </c>
      <c r="G16" s="24">
        <f>F16/(1+C16)</f>
        <v>19.417475728155338</v>
      </c>
      <c r="H16" s="23">
        <f t="shared" si="4"/>
        <v>0</v>
      </c>
      <c r="I16" s="23">
        <f t="shared" si="4"/>
        <v>0</v>
      </c>
      <c r="J16" s="23">
        <f t="shared" si="4"/>
        <v>0</v>
      </c>
      <c r="K16" s="23">
        <f t="shared" si="4"/>
        <v>0</v>
      </c>
      <c r="L16" s="23">
        <f t="shared" si="4"/>
        <v>0</v>
      </c>
      <c r="M16" s="23">
        <f t="shared" si="4"/>
        <v>0</v>
      </c>
      <c r="N16" s="23">
        <f t="shared" si="4"/>
        <v>0</v>
      </c>
      <c r="O16" s="23">
        <f t="shared" si="4"/>
        <v>0</v>
      </c>
      <c r="P16" s="23">
        <f t="shared" si="4"/>
        <v>0</v>
      </c>
      <c r="Q16" s="23">
        <f t="shared" si="4"/>
        <v>0</v>
      </c>
      <c r="R16" s="23">
        <f t="shared" si="5"/>
        <v>0</v>
      </c>
      <c r="S16" s="23">
        <f t="shared" si="5"/>
        <v>0</v>
      </c>
      <c r="T16" s="23">
        <f t="shared" si="5"/>
        <v>0</v>
      </c>
      <c r="U16" s="23">
        <f t="shared" si="5"/>
        <v>0</v>
      </c>
      <c r="V16" s="23">
        <f t="shared" si="5"/>
        <v>0</v>
      </c>
      <c r="W16" s="23">
        <f t="shared" si="5"/>
        <v>0</v>
      </c>
      <c r="X16" s="23">
        <f t="shared" si="5"/>
        <v>0</v>
      </c>
      <c r="Y16" s="23">
        <f t="shared" si="5"/>
        <v>0</v>
      </c>
      <c r="Z16" s="23">
        <f t="shared" si="5"/>
        <v>0</v>
      </c>
      <c r="AA16" s="23">
        <f t="shared" si="5"/>
        <v>553.67575418633498</v>
      </c>
    </row>
    <row r="19" spans="1:2" x14ac:dyDescent="0.2">
      <c r="A19" s="1" t="s">
        <v>91</v>
      </c>
    </row>
    <row r="20" spans="1:2" ht="128" x14ac:dyDescent="0.2">
      <c r="A20" s="4" t="s">
        <v>92</v>
      </c>
      <c r="B20" s="2" t="s">
        <v>93</v>
      </c>
    </row>
    <row r="21" spans="1:2" ht="160" x14ac:dyDescent="0.2">
      <c r="A21" s="4" t="s">
        <v>94</v>
      </c>
      <c r="B21" s="2" t="s">
        <v>95</v>
      </c>
    </row>
    <row r="22" spans="1:2" ht="144" x14ac:dyDescent="0.2">
      <c r="A22" s="4" t="s">
        <v>96</v>
      </c>
      <c r="B22" s="2" t="s">
        <v>97</v>
      </c>
    </row>
  </sheetData>
  <mergeCells count="5">
    <mergeCell ref="A14:G14"/>
    <mergeCell ref="A3:G3"/>
    <mergeCell ref="A6:G6"/>
    <mergeCell ref="A1:AA1"/>
    <mergeCell ref="A10:G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E24"/>
  <sheetViews>
    <sheetView workbookViewId="0">
      <pane xSplit="1" ySplit="3" topLeftCell="B4" activePane="bottomRight" state="frozen"/>
      <selection pane="topRight"/>
      <selection pane="bottomLeft"/>
      <selection pane="bottomRight" activeCell="C5" sqref="C5"/>
    </sheetView>
  </sheetViews>
  <sheetFormatPr baseColWidth="10" defaultColWidth="8.83203125" defaultRowHeight="15" x14ac:dyDescent="0.2"/>
  <cols>
    <col min="1" max="1" width="3" customWidth="1"/>
    <col min="2" max="2" width="21" customWidth="1"/>
    <col min="3" max="3" width="13" customWidth="1"/>
    <col min="4" max="4" width="4" customWidth="1"/>
    <col min="5" max="5" width="28" customWidth="1"/>
    <col min="6" max="6" width="16" customWidth="1"/>
    <col min="7" max="13" width="10" customWidth="1"/>
    <col min="14" max="31" width="9" customWidth="1"/>
  </cols>
  <sheetData>
    <row r="1" spans="2:31" ht="17" x14ac:dyDescent="0.2">
      <c r="B1" s="52" t="s">
        <v>123</v>
      </c>
      <c r="C1" s="51"/>
      <c r="D1" s="51"/>
      <c r="E1" s="50"/>
      <c r="F1" s="51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</row>
    <row r="2" spans="2:31" x14ac:dyDescent="0.2">
      <c r="B2" s="4"/>
      <c r="C2" s="25"/>
      <c r="D2" s="25"/>
      <c r="E2" s="4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</row>
    <row r="3" spans="2:31" x14ac:dyDescent="0.2">
      <c r="B3" s="26" t="s">
        <v>54</v>
      </c>
      <c r="C3" s="25"/>
      <c r="D3" s="25"/>
      <c r="E3" s="26" t="s">
        <v>55</v>
      </c>
      <c r="F3" s="25"/>
      <c r="G3" s="27" t="s">
        <v>124</v>
      </c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</row>
    <row r="4" spans="2:31" x14ac:dyDescent="0.2">
      <c r="B4" s="4" t="s">
        <v>56</v>
      </c>
      <c r="C4" s="28">
        <v>1000</v>
      </c>
      <c r="D4" s="25"/>
      <c r="E4" s="4" t="s">
        <v>57</v>
      </c>
      <c r="F4" s="29">
        <f>SUM(G7:AE7)</f>
        <v>15.455641617812155</v>
      </c>
      <c r="G4" s="30" t="s">
        <v>125</v>
      </c>
      <c r="H4" s="30">
        <v>2</v>
      </c>
      <c r="I4" s="30">
        <v>3</v>
      </c>
      <c r="J4" s="30">
        <v>4</v>
      </c>
      <c r="K4" s="30">
        <v>5</v>
      </c>
      <c r="L4" s="30">
        <v>6</v>
      </c>
      <c r="M4" s="30">
        <v>7</v>
      </c>
      <c r="N4" s="30">
        <v>8</v>
      </c>
      <c r="O4" s="30">
        <v>9</v>
      </c>
      <c r="P4" s="30">
        <v>10</v>
      </c>
      <c r="Q4" s="30">
        <v>11</v>
      </c>
      <c r="R4" s="30">
        <v>12</v>
      </c>
      <c r="S4" s="30">
        <v>13</v>
      </c>
      <c r="T4" s="30">
        <v>14</v>
      </c>
      <c r="U4" s="30">
        <v>15</v>
      </c>
      <c r="V4" s="30">
        <v>16</v>
      </c>
      <c r="W4" s="30">
        <v>17</v>
      </c>
      <c r="X4" s="30">
        <v>18</v>
      </c>
      <c r="Y4" s="30">
        <v>19</v>
      </c>
      <c r="Z4" s="30">
        <v>20</v>
      </c>
      <c r="AA4" s="30">
        <v>21</v>
      </c>
      <c r="AB4" s="30">
        <v>22</v>
      </c>
      <c r="AC4" s="30">
        <v>23</v>
      </c>
      <c r="AD4" s="30">
        <v>24</v>
      </c>
      <c r="AE4" s="30">
        <v>25</v>
      </c>
    </row>
    <row r="5" spans="2:31" x14ac:dyDescent="0.2">
      <c r="B5" s="4" t="s">
        <v>58</v>
      </c>
      <c r="C5" s="31">
        <v>0.04</v>
      </c>
      <c r="D5" s="25"/>
      <c r="E5" s="4" t="s">
        <v>59</v>
      </c>
      <c r="F5" s="29">
        <f>F4/(1+$C$6)</f>
        <v>14.719658683630623</v>
      </c>
      <c r="G5" s="32"/>
      <c r="H5" s="32">
        <f t="shared" ref="H5:AE5" si="0">IF(H$4&lt;=$C$7,IF(H$4=$C$7,$C$9+$C$4,$C$9)/(1+$C$6)^H$4,0)</f>
        <v>36.281179138321995</v>
      </c>
      <c r="I5" s="32">
        <f t="shared" si="0"/>
        <v>34.553503941259038</v>
      </c>
      <c r="J5" s="32">
        <f t="shared" si="0"/>
        <v>32.908098991675281</v>
      </c>
      <c r="K5" s="32">
        <f t="shared" si="0"/>
        <v>31.341046658738357</v>
      </c>
      <c r="L5" s="32">
        <f t="shared" si="0"/>
        <v>29.848615865465106</v>
      </c>
      <c r="M5" s="32">
        <f t="shared" si="0"/>
        <v>28.42725320520486</v>
      </c>
      <c r="N5" s="32">
        <f t="shared" si="0"/>
        <v>27.073574481147489</v>
      </c>
      <c r="O5" s="32">
        <f t="shared" si="0"/>
        <v>25.784356648711892</v>
      </c>
      <c r="P5" s="32">
        <f t="shared" si="0"/>
        <v>24.556530141630372</v>
      </c>
      <c r="Q5" s="32">
        <f t="shared" si="0"/>
        <v>23.387171563457496</v>
      </c>
      <c r="R5" s="32">
        <f t="shared" si="0"/>
        <v>22.27349672710238</v>
      </c>
      <c r="S5" s="32">
        <f t="shared" si="0"/>
        <v>21.212854025811787</v>
      </c>
      <c r="T5" s="32">
        <f t="shared" si="0"/>
        <v>20.202718119820755</v>
      </c>
      <c r="U5" s="32">
        <f t="shared" si="0"/>
        <v>19.240683923638809</v>
      </c>
      <c r="V5" s="32">
        <f t="shared" si="0"/>
        <v>18.324460879656009</v>
      </c>
      <c r="W5" s="32">
        <f t="shared" si="0"/>
        <v>17.451867504434293</v>
      </c>
      <c r="X5" s="32">
        <f t="shared" si="0"/>
        <v>16.620826194699326</v>
      </c>
      <c r="Y5" s="32">
        <f t="shared" si="0"/>
        <v>15.829358280666025</v>
      </c>
      <c r="Z5" s="32">
        <f t="shared" si="0"/>
        <v>15.075579314920024</v>
      </c>
      <c r="AA5" s="32">
        <f t="shared" si="0"/>
        <v>14.357694585638118</v>
      </c>
      <c r="AB5" s="32">
        <f t="shared" si="0"/>
        <v>13.673994843464875</v>
      </c>
      <c r="AC5" s="32">
        <f t="shared" si="0"/>
        <v>13.022852231871306</v>
      </c>
      <c r="AD5" s="32">
        <f t="shared" si="0"/>
        <v>12.402716411306008</v>
      </c>
      <c r="AE5" s="32">
        <f t="shared" si="0"/>
        <v>307.11488256567259</v>
      </c>
    </row>
    <row r="6" spans="2:31" x14ac:dyDescent="0.2">
      <c r="B6" s="4" t="s">
        <v>36</v>
      </c>
      <c r="C6" s="31">
        <v>0.05</v>
      </c>
      <c r="D6" s="25"/>
      <c r="E6" s="4" t="s">
        <v>126</v>
      </c>
      <c r="F6" s="29">
        <f>(C11+C12-2*C10)/(C10*C8^2)</f>
        <v>305.12130982056976</v>
      </c>
      <c r="G6" s="33">
        <f t="shared" ref="G6:AE6" si="1">IF($C$10=0,0,G5/$C$10)</f>
        <v>0</v>
      </c>
      <c r="H6" s="33">
        <f t="shared" si="1"/>
        <v>4.2233552634965352E-2</v>
      </c>
      <c r="I6" s="33">
        <f t="shared" si="1"/>
        <v>4.0222431080919371E-2</v>
      </c>
      <c r="J6" s="33">
        <f t="shared" si="1"/>
        <v>3.830707721992322E-2</v>
      </c>
      <c r="K6" s="33">
        <f t="shared" si="1"/>
        <v>3.6482930685641159E-2</v>
      </c>
      <c r="L6" s="33">
        <f t="shared" si="1"/>
        <v>3.4745648272039201E-2</v>
      </c>
      <c r="M6" s="33">
        <f t="shared" si="1"/>
        <v>3.3091093592418283E-2</v>
      </c>
      <c r="N6" s="33">
        <f t="shared" si="1"/>
        <v>3.1515327230874558E-2</v>
      </c>
      <c r="O6" s="33">
        <f t="shared" si="1"/>
        <v>3.0014597362737674E-2</v>
      </c>
      <c r="P6" s="33">
        <f t="shared" si="1"/>
        <v>2.8585330821654924E-2</v>
      </c>
      <c r="Q6" s="33">
        <f t="shared" si="1"/>
        <v>2.7224124592052309E-2</v>
      </c>
      <c r="R6" s="33">
        <f t="shared" si="1"/>
        <v>2.5927737706716487E-2</v>
      </c>
      <c r="S6" s="33">
        <f t="shared" si="1"/>
        <v>2.4693083530206175E-2</v>
      </c>
      <c r="T6" s="33">
        <f t="shared" si="1"/>
        <v>2.3517222409720172E-2</v>
      </c>
      <c r="U6" s="33">
        <f t="shared" si="1"/>
        <v>2.2397354675923967E-2</v>
      </c>
      <c r="V6" s="33">
        <f t="shared" si="1"/>
        <v>2.1330813977070446E-2</v>
      </c>
      <c r="W6" s="33">
        <f t="shared" si="1"/>
        <v>2.0315060930543281E-2</v>
      </c>
      <c r="X6" s="33">
        <f t="shared" si="1"/>
        <v>1.9347677076707884E-2</v>
      </c>
      <c r="Y6" s="33">
        <f t="shared" si="1"/>
        <v>1.8426359120674175E-2</v>
      </c>
      <c r="Z6" s="33">
        <f t="shared" si="1"/>
        <v>1.7548913448261122E-2</v>
      </c>
      <c r="AA6" s="33">
        <f t="shared" si="1"/>
        <v>1.6713250903105829E-2</v>
      </c>
      <c r="AB6" s="33">
        <f t="shared" si="1"/>
        <v>1.5917381812481743E-2</v>
      </c>
      <c r="AC6" s="33">
        <f t="shared" si="1"/>
        <v>1.5159411249982609E-2</v>
      </c>
      <c r="AD6" s="33">
        <f t="shared" si="1"/>
        <v>1.4437534523792962E-2</v>
      </c>
      <c r="AE6" s="33">
        <f t="shared" si="1"/>
        <v>0.35750085487487337</v>
      </c>
    </row>
    <row r="7" spans="2:31" x14ac:dyDescent="0.2">
      <c r="B7" s="4" t="s">
        <v>35</v>
      </c>
      <c r="C7" s="34">
        <v>25</v>
      </c>
      <c r="D7" s="25"/>
      <c r="E7" s="4" t="s">
        <v>62</v>
      </c>
      <c r="F7" s="35">
        <f>C11/C10-1</f>
        <v>-0.13355016351917537</v>
      </c>
      <c r="G7" s="33">
        <f t="shared" ref="G7:AE7" si="2">G4*G6</f>
        <v>0</v>
      </c>
      <c r="H7" s="33">
        <f t="shared" si="2"/>
        <v>8.4467105269930703E-2</v>
      </c>
      <c r="I7" s="33">
        <f t="shared" si="2"/>
        <v>0.12066729324275811</v>
      </c>
      <c r="J7" s="33">
        <f t="shared" si="2"/>
        <v>0.15322830887969288</v>
      </c>
      <c r="K7" s="33">
        <f t="shared" si="2"/>
        <v>0.18241465342820579</v>
      </c>
      <c r="L7" s="33">
        <f t="shared" si="2"/>
        <v>0.2084738896322352</v>
      </c>
      <c r="M7" s="33">
        <f t="shared" si="2"/>
        <v>0.23163765514692797</v>
      </c>
      <c r="N7" s="33">
        <f t="shared" si="2"/>
        <v>0.25212261784699647</v>
      </c>
      <c r="O7" s="33">
        <f t="shared" si="2"/>
        <v>0.27013137626463907</v>
      </c>
      <c r="P7" s="33">
        <f t="shared" si="2"/>
        <v>0.28585330821654925</v>
      </c>
      <c r="Q7" s="33">
        <f t="shared" si="2"/>
        <v>0.29946537051257538</v>
      </c>
      <c r="R7" s="33">
        <f t="shared" si="2"/>
        <v>0.31113285248059785</v>
      </c>
      <c r="S7" s="33">
        <f t="shared" si="2"/>
        <v>0.32101008589268026</v>
      </c>
      <c r="T7" s="33">
        <f t="shared" si="2"/>
        <v>0.32924111373608239</v>
      </c>
      <c r="U7" s="33">
        <f t="shared" si="2"/>
        <v>0.33596032013885951</v>
      </c>
      <c r="V7" s="33">
        <f t="shared" si="2"/>
        <v>0.34129302363312713</v>
      </c>
      <c r="W7" s="33">
        <f t="shared" si="2"/>
        <v>0.3453560358192358</v>
      </c>
      <c r="X7" s="33">
        <f t="shared" si="2"/>
        <v>0.34825818738074188</v>
      </c>
      <c r="Y7" s="33">
        <f t="shared" si="2"/>
        <v>0.35010082329280934</v>
      </c>
      <c r="Z7" s="33">
        <f t="shared" si="2"/>
        <v>0.35097826896522244</v>
      </c>
      <c r="AA7" s="33">
        <f t="shared" si="2"/>
        <v>0.35097826896522238</v>
      </c>
      <c r="AB7" s="33">
        <f t="shared" si="2"/>
        <v>0.35018239987459832</v>
      </c>
      <c r="AC7" s="33">
        <f t="shared" si="2"/>
        <v>0.34866645874960001</v>
      </c>
      <c r="AD7" s="33">
        <f t="shared" si="2"/>
        <v>0.34650082857103109</v>
      </c>
      <c r="AE7" s="33">
        <f t="shared" si="2"/>
        <v>8.9375213718718349</v>
      </c>
    </row>
    <row r="8" spans="2:31" x14ac:dyDescent="0.2">
      <c r="B8" s="4" t="s">
        <v>60</v>
      </c>
      <c r="C8" s="31">
        <v>0.01</v>
      </c>
      <c r="D8" s="25"/>
      <c r="E8" s="4" t="s">
        <v>127</v>
      </c>
      <c r="F8" s="35">
        <f>-F5*$C$8</f>
        <v>-0.14719658683630624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</row>
    <row r="9" spans="2:31" x14ac:dyDescent="0.2">
      <c r="B9" s="4" t="s">
        <v>38</v>
      </c>
      <c r="C9" s="36">
        <f>C4*C5</f>
        <v>40</v>
      </c>
      <c r="D9" s="25"/>
      <c r="E9" s="4" t="s">
        <v>128</v>
      </c>
      <c r="F9" s="35">
        <f>-F5*$C$8+0.5*F6*$C$8^2</f>
        <v>-0.13194052134527776</v>
      </c>
      <c r="G9" s="30" t="s">
        <v>36</v>
      </c>
      <c r="H9" s="30" t="s">
        <v>63</v>
      </c>
      <c r="I9" s="30" t="s">
        <v>129</v>
      </c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</row>
    <row r="10" spans="2:31" x14ac:dyDescent="0.2">
      <c r="B10" s="4" t="s">
        <v>130</v>
      </c>
      <c r="C10" s="37">
        <f>-PV(C6,C7,C9,C4)</f>
        <v>859.06055433955237</v>
      </c>
      <c r="D10" s="25"/>
      <c r="E10" s="4" t="s">
        <v>131</v>
      </c>
      <c r="F10" s="35">
        <f>F8-F7</f>
        <v>-1.3646423317130868E-2</v>
      </c>
      <c r="G10" s="38">
        <v>0.02</v>
      </c>
      <c r="H10" s="32">
        <f t="shared" ref="H10:H20" si="3">-PV(G10,$C$7,$C$9,$C$4)</f>
        <v>1390.4691294717206</v>
      </c>
      <c r="I10" s="39">
        <f t="shared" ref="I10:I20" si="4">H10/$C$10-1</f>
        <v>0.61859268528598244</v>
      </c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</row>
    <row r="11" spans="2:31" x14ac:dyDescent="0.2">
      <c r="B11" s="4" t="s">
        <v>132</v>
      </c>
      <c r="C11" s="37">
        <f>-PV(C6+C8,C7,C9,C4)</f>
        <v>744.33287683463175</v>
      </c>
      <c r="D11" s="25"/>
      <c r="E11" s="4" t="s">
        <v>133</v>
      </c>
      <c r="F11" s="35">
        <f>F9-F7</f>
        <v>1.609642173897613E-3</v>
      </c>
      <c r="G11" s="38">
        <v>0.03</v>
      </c>
      <c r="H11" s="32">
        <f t="shared" si="3"/>
        <v>1174.1314769127803</v>
      </c>
      <c r="I11" s="39">
        <f t="shared" si="4"/>
        <v>0.36676218106121183</v>
      </c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</row>
    <row r="12" spans="2:31" x14ac:dyDescent="0.2">
      <c r="B12" s="4" t="s">
        <v>134</v>
      </c>
      <c r="C12" s="37">
        <f>-PV(C6-C8,C7,C9,C4)</f>
        <v>999.99999999999989</v>
      </c>
      <c r="D12" s="25"/>
      <c r="E12" s="4" t="s">
        <v>73</v>
      </c>
      <c r="F12" s="35">
        <f>C12/C10-1</f>
        <v>0.16406229450123222</v>
      </c>
      <c r="G12" s="38">
        <v>0.04</v>
      </c>
      <c r="H12" s="32">
        <f t="shared" si="3"/>
        <v>999.99999999999989</v>
      </c>
      <c r="I12" s="39">
        <f t="shared" si="4"/>
        <v>0.16406229450123222</v>
      </c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</row>
    <row r="13" spans="2:31" x14ac:dyDescent="0.2">
      <c r="B13" s="4"/>
      <c r="C13" s="25"/>
      <c r="D13" s="25"/>
      <c r="E13" s="4" t="s">
        <v>135</v>
      </c>
      <c r="F13" s="35">
        <f>F5*$C$8</f>
        <v>0.14719658683630624</v>
      </c>
      <c r="G13" s="38">
        <v>0.05</v>
      </c>
      <c r="H13" s="32">
        <f t="shared" si="3"/>
        <v>859.06055433955237</v>
      </c>
      <c r="I13" s="39">
        <f t="shared" si="4"/>
        <v>0</v>
      </c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</row>
    <row r="14" spans="2:31" x14ac:dyDescent="0.2">
      <c r="B14" s="4"/>
      <c r="C14" s="25"/>
      <c r="D14" s="25"/>
      <c r="E14" s="4" t="s">
        <v>136</v>
      </c>
      <c r="F14" s="35">
        <f>F5*$C$8+0.5*F6*$C$8^2</f>
        <v>0.16245265232733472</v>
      </c>
      <c r="G14" s="38">
        <v>0.06</v>
      </c>
      <c r="H14" s="32">
        <f t="shared" si="3"/>
        <v>744.33287683463175</v>
      </c>
      <c r="I14" s="39">
        <f t="shared" si="4"/>
        <v>-0.13355016351917537</v>
      </c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</row>
    <row r="15" spans="2:31" x14ac:dyDescent="0.2">
      <c r="B15" s="4"/>
      <c r="C15" s="25"/>
      <c r="D15" s="25"/>
      <c r="E15" s="4" t="s">
        <v>137</v>
      </c>
      <c r="F15" s="35">
        <f>F13-F12</f>
        <v>-1.6865707664925983E-2</v>
      </c>
      <c r="G15" s="38">
        <v>7.0000000000000007E-2</v>
      </c>
      <c r="H15" s="32">
        <f t="shared" si="3"/>
        <v>650.39250465238831</v>
      </c>
      <c r="I15" s="39">
        <f t="shared" si="4"/>
        <v>-0.24290260870793734</v>
      </c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</row>
    <row r="16" spans="2:31" x14ac:dyDescent="0.2">
      <c r="B16" s="4"/>
      <c r="C16" s="25"/>
      <c r="D16" s="25"/>
      <c r="E16" s="4" t="s">
        <v>138</v>
      </c>
      <c r="F16" s="35">
        <f>F14-F12</f>
        <v>-1.609642173897502E-3</v>
      </c>
      <c r="G16" s="38">
        <v>0.08</v>
      </c>
      <c r="H16" s="32">
        <f t="shared" si="3"/>
        <v>573.00895245645677</v>
      </c>
      <c r="I16" s="39">
        <f t="shared" si="4"/>
        <v>-0.33298188403378937</v>
      </c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</row>
    <row r="17" spans="2:31" x14ac:dyDescent="0.2">
      <c r="B17" s="4"/>
      <c r="C17" s="25"/>
      <c r="D17" s="25"/>
      <c r="E17" s="4"/>
      <c r="F17" s="25"/>
      <c r="G17" s="38">
        <v>0.09</v>
      </c>
      <c r="H17" s="32">
        <f t="shared" si="3"/>
        <v>508.87101975257565</v>
      </c>
      <c r="I17" s="39">
        <f t="shared" si="4"/>
        <v>-0.40764243314163484</v>
      </c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</row>
    <row r="18" spans="2:31" ht="16" x14ac:dyDescent="0.2">
      <c r="B18" s="49" t="s">
        <v>139</v>
      </c>
      <c r="C18" s="47"/>
      <c r="D18" s="47"/>
      <c r="E18" s="50"/>
      <c r="F18" s="47"/>
      <c r="G18" s="40">
        <v>0.1</v>
      </c>
      <c r="H18" s="41">
        <f t="shared" si="3"/>
        <v>455.3775989062384</v>
      </c>
      <c r="I18" s="42">
        <f t="shared" si="4"/>
        <v>-0.46991210735274225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</row>
    <row r="19" spans="2:31" x14ac:dyDescent="0.2">
      <c r="B19" s="50"/>
      <c r="C19" s="51"/>
      <c r="D19" s="51"/>
      <c r="E19" s="50"/>
      <c r="F19" s="51"/>
      <c r="G19" s="38">
        <v>0.11</v>
      </c>
      <c r="H19" s="32">
        <f t="shared" si="3"/>
        <v>410.47787347331661</v>
      </c>
      <c r="I19" s="39">
        <f t="shared" si="4"/>
        <v>-0.52217818476266453</v>
      </c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</row>
    <row r="20" spans="2:31" x14ac:dyDescent="0.2">
      <c r="B20" s="50"/>
      <c r="C20" s="51"/>
      <c r="D20" s="51"/>
      <c r="E20" s="50"/>
      <c r="F20" s="51"/>
      <c r="G20" s="38">
        <v>0.12</v>
      </c>
      <c r="H20" s="32">
        <f t="shared" si="3"/>
        <v>372.54887103483577</v>
      </c>
      <c r="I20" s="39">
        <f t="shared" si="4"/>
        <v>-0.56632990636934533</v>
      </c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</row>
    <row r="21" spans="2:31" x14ac:dyDescent="0.2">
      <c r="B21" s="4"/>
      <c r="C21" s="25"/>
      <c r="D21" s="25"/>
      <c r="E21" s="4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</row>
    <row r="22" spans="2:31" x14ac:dyDescent="0.2">
      <c r="B22" s="43" t="s">
        <v>140</v>
      </c>
      <c r="C22" s="44" t="s">
        <v>141</v>
      </c>
      <c r="D22" s="25"/>
      <c r="E22" s="4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</row>
    <row r="23" spans="2:31" x14ac:dyDescent="0.2">
      <c r="B23" s="4"/>
      <c r="C23" s="44" t="s">
        <v>142</v>
      </c>
      <c r="D23" s="25"/>
      <c r="E23" s="4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</row>
    <row r="24" spans="2:31" x14ac:dyDescent="0.2">
      <c r="B24" s="4"/>
      <c r="C24" s="44" t="s">
        <v>143</v>
      </c>
      <c r="D24" s="25"/>
      <c r="E24" s="4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</row>
  </sheetData>
  <mergeCells count="2">
    <mergeCell ref="B18:F20"/>
    <mergeCell ref="B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7"/>
  <sheetViews>
    <sheetView showGridLines="0" workbookViewId="0">
      <selection activeCell="C15" sqref="C15"/>
    </sheetView>
  </sheetViews>
  <sheetFormatPr baseColWidth="10" defaultColWidth="8.83203125" defaultRowHeight="15" x14ac:dyDescent="0.2"/>
  <cols>
    <col min="1" max="1" width="10" customWidth="1"/>
    <col min="2" max="8" width="16" customWidth="1"/>
    <col min="10" max="10" width="28" customWidth="1"/>
    <col min="11" max="11" width="20" customWidth="1"/>
  </cols>
  <sheetData>
    <row r="1" spans="1:11" ht="21" x14ac:dyDescent="0.2">
      <c r="A1" s="45" t="s">
        <v>98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3" spans="1:11" ht="16" x14ac:dyDescent="0.2">
      <c r="A3" s="48" t="s">
        <v>99</v>
      </c>
      <c r="B3" s="46"/>
      <c r="C3" s="46"/>
      <c r="J3" s="48" t="s">
        <v>55</v>
      </c>
      <c r="K3" s="46"/>
    </row>
    <row r="4" spans="1:11" x14ac:dyDescent="0.2">
      <c r="B4" s="17" t="s">
        <v>56</v>
      </c>
      <c r="C4" s="12">
        <v>1000</v>
      </c>
      <c r="J4" s="17" t="s">
        <v>100</v>
      </c>
      <c r="K4" s="13">
        <f>SUM(D15:D17)</f>
        <v>1042.9605675048529</v>
      </c>
    </row>
    <row r="5" spans="1:11" x14ac:dyDescent="0.2">
      <c r="B5" s="17" t="s">
        <v>101</v>
      </c>
      <c r="C5" s="12">
        <v>70</v>
      </c>
      <c r="J5" s="17" t="s">
        <v>102</v>
      </c>
      <c r="K5" s="13">
        <f>SUM(E15:E17)</f>
        <v>1040.4690006771395</v>
      </c>
    </row>
    <row r="6" spans="1:11" x14ac:dyDescent="0.2">
      <c r="B6" s="17" t="s">
        <v>35</v>
      </c>
      <c r="C6" s="22">
        <v>3</v>
      </c>
      <c r="J6" s="17" t="s">
        <v>103</v>
      </c>
      <c r="K6" s="13">
        <f>SUM(G15:G17)</f>
        <v>1017.5324750573511</v>
      </c>
    </row>
    <row r="7" spans="1:11" x14ac:dyDescent="0.2">
      <c r="B7" s="17" t="s">
        <v>104</v>
      </c>
      <c r="C7" s="9">
        <v>3.5000000000000003E-2</v>
      </c>
      <c r="J7" s="17" t="s">
        <v>105</v>
      </c>
      <c r="K7" s="13">
        <f>SUM(H15:H17)</f>
        <v>1013.2423775536172</v>
      </c>
    </row>
    <row r="8" spans="1:11" x14ac:dyDescent="0.2">
      <c r="B8" s="17" t="s">
        <v>106</v>
      </c>
      <c r="C8" s="9">
        <v>4.4999999999999998E-2</v>
      </c>
      <c r="J8" s="17" t="s">
        <v>107</v>
      </c>
      <c r="K8" s="13">
        <f>K6-K4</f>
        <v>-25.42809244750174</v>
      </c>
    </row>
    <row r="9" spans="1:11" x14ac:dyDescent="0.2">
      <c r="B9" s="17" t="s">
        <v>108</v>
      </c>
      <c r="C9" s="9">
        <v>5.5E-2</v>
      </c>
      <c r="J9" s="17" t="s">
        <v>109</v>
      </c>
      <c r="K9" s="14">
        <f>K6/K4-1</f>
        <v>-2.4380684409128883E-2</v>
      </c>
    </row>
    <row r="10" spans="1:11" x14ac:dyDescent="0.2">
      <c r="B10" s="17" t="s">
        <v>110</v>
      </c>
      <c r="C10" s="11">
        <v>6.5000000000000002E-2</v>
      </c>
      <c r="J10" s="17" t="s">
        <v>111</v>
      </c>
      <c r="K10" s="13">
        <f>K7-K5</f>
        <v>-27.226623123522359</v>
      </c>
    </row>
    <row r="11" spans="1:11" x14ac:dyDescent="0.2">
      <c r="B11" s="17" t="s">
        <v>112</v>
      </c>
      <c r="C11" s="14">
        <f>C9</f>
        <v>5.5E-2</v>
      </c>
      <c r="J11" s="17" t="s">
        <v>113</v>
      </c>
      <c r="K11" s="14">
        <f>K7/K5-1</f>
        <v>-2.6167644692733028E-2</v>
      </c>
    </row>
    <row r="12" spans="1:11" ht="18" customHeight="1" x14ac:dyDescent="0.2">
      <c r="B12" s="17" t="s">
        <v>114</v>
      </c>
      <c r="C12" s="14">
        <f>C10</f>
        <v>6.5000000000000002E-2</v>
      </c>
      <c r="J12" s="17" t="s">
        <v>115</v>
      </c>
      <c r="K12" s="14">
        <f>ABS(K11)-ABS(K9)</f>
        <v>1.7869602836041443E-3</v>
      </c>
    </row>
    <row r="14" spans="1:11" ht="54" customHeight="1" x14ac:dyDescent="0.2">
      <c r="A14" s="10" t="s">
        <v>67</v>
      </c>
      <c r="B14" s="10" t="s">
        <v>68</v>
      </c>
      <c r="C14" s="10" t="s">
        <v>116</v>
      </c>
      <c r="D14" s="10" t="s">
        <v>117</v>
      </c>
      <c r="E14" s="10" t="s">
        <v>118</v>
      </c>
      <c r="F14" s="10" t="s">
        <v>119</v>
      </c>
      <c r="G14" s="10" t="s">
        <v>120</v>
      </c>
      <c r="H14" s="10" t="s">
        <v>121</v>
      </c>
      <c r="J14" s="4" t="s">
        <v>50</v>
      </c>
      <c r="K14" s="47" t="s">
        <v>122</v>
      </c>
    </row>
    <row r="15" spans="1:11" x14ac:dyDescent="0.2">
      <c r="A15" s="4">
        <v>1</v>
      </c>
      <c r="B15" s="13">
        <f>IF(A15&lt;$C$6,$C$5,$C$5+$C$4)</f>
        <v>70</v>
      </c>
      <c r="C15" s="14">
        <f>INDEX($C$7:$C$9,A15)</f>
        <v>3.5000000000000003E-2</v>
      </c>
      <c r="D15" s="13">
        <f>B15/(1+C15)^A15</f>
        <v>67.632850241545896</v>
      </c>
      <c r="E15" s="13">
        <f>B15/(1+$C$11)^A15</f>
        <v>66.350710900473942</v>
      </c>
      <c r="F15" s="14">
        <f>IF(A15=3,$C$10,INDEX($C$7:$C$8,A15))</f>
        <v>3.5000000000000003E-2</v>
      </c>
      <c r="G15" s="13">
        <f>B15/(1+F15)^A15</f>
        <v>67.632850241545896</v>
      </c>
      <c r="H15" s="13">
        <f>B15/(1+$C$12)^A15</f>
        <v>65.727699530516432</v>
      </c>
      <c r="K15" s="46"/>
    </row>
    <row r="16" spans="1:11" x14ac:dyDescent="0.2">
      <c r="A16" s="4">
        <v>2</v>
      </c>
      <c r="B16" s="13">
        <f>IF(A16&lt;$C$6,$C$5,$C$5+$C$4)</f>
        <v>70</v>
      </c>
      <c r="C16" s="14">
        <f>INDEX($C$7:$C$9,A16)</f>
        <v>4.4999999999999998E-2</v>
      </c>
      <c r="D16" s="13">
        <f>B16/(1+C16)^A16</f>
        <v>64.10109658661662</v>
      </c>
      <c r="E16" s="13">
        <f>B16/(1+$C$11)^A16</f>
        <v>62.891669099975296</v>
      </c>
      <c r="F16" s="14">
        <f>IF(A16=3,$C$10,INDEX($C$7:$C$8,A16))</f>
        <v>4.4999999999999998E-2</v>
      </c>
      <c r="G16" s="13">
        <f>B16/(1+F16)^A16</f>
        <v>64.10109658661662</v>
      </c>
      <c r="H16" s="13">
        <f>B16/(1+$C$12)^A16</f>
        <v>61.716149793912152</v>
      </c>
      <c r="K16" s="46"/>
    </row>
    <row r="17" spans="1:8" x14ac:dyDescent="0.2">
      <c r="A17" s="4">
        <v>3</v>
      </c>
      <c r="B17" s="13">
        <f>IF(A17&lt;$C$6,$C$5,$C$5+$C$4)</f>
        <v>1070</v>
      </c>
      <c r="C17" s="14">
        <f>INDEX($C$7:$C$9,A17)</f>
        <v>5.5E-2</v>
      </c>
      <c r="D17" s="13">
        <f>B17/(1+C17)^A17</f>
        <v>911.22662067669023</v>
      </c>
      <c r="E17" s="13">
        <f>B17/(1+$C$11)^A17</f>
        <v>911.22662067669023</v>
      </c>
      <c r="F17" s="14">
        <f>IF(A17=3,$C$10,INDEX($C$7:$C$8,A17))</f>
        <v>6.5000000000000002E-2</v>
      </c>
      <c r="G17" s="13">
        <f>B17/(1+F17)^A17</f>
        <v>885.79852822918861</v>
      </c>
      <c r="H17" s="13">
        <f>B17/(1+$C$12)^A17</f>
        <v>885.79852822918861</v>
      </c>
    </row>
  </sheetData>
  <mergeCells count="4">
    <mergeCell ref="K14:K16"/>
    <mergeCell ref="J3:K3"/>
    <mergeCell ref="A1:K1"/>
    <mergeCell ref="A3:C3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7"/>
  <sheetViews>
    <sheetView showGridLines="0" workbookViewId="0">
      <selection sqref="A1:C1"/>
    </sheetView>
  </sheetViews>
  <sheetFormatPr baseColWidth="10" defaultColWidth="8.83203125" defaultRowHeight="15" x14ac:dyDescent="0.2"/>
  <cols>
    <col min="1" max="1" width="36" customWidth="1"/>
    <col min="2" max="2" width="16" customWidth="1"/>
    <col min="3" max="3" width="72" customWidth="1"/>
  </cols>
  <sheetData>
    <row r="1" spans="1:3" ht="21" x14ac:dyDescent="0.2">
      <c r="A1" s="45" t="s">
        <v>144</v>
      </c>
      <c r="B1" s="46"/>
      <c r="C1" s="46"/>
    </row>
    <row r="4" spans="1:3" ht="16" x14ac:dyDescent="0.2">
      <c r="A4" s="17" t="s">
        <v>145</v>
      </c>
      <c r="B4" s="14" t="str">
        <f>Part1!O6</f>
        <v>D</v>
      </c>
      <c r="C4" s="2" t="s">
        <v>146</v>
      </c>
    </row>
    <row r="5" spans="1:3" ht="16" x14ac:dyDescent="0.2">
      <c r="A5" s="17" t="s">
        <v>147</v>
      </c>
      <c r="B5" s="14" t="str">
        <f>Part1!O7</f>
        <v>A</v>
      </c>
      <c r="C5" s="2" t="s">
        <v>148</v>
      </c>
    </row>
    <row r="6" spans="1:3" ht="16" x14ac:dyDescent="0.2">
      <c r="A6" s="17" t="s">
        <v>149</v>
      </c>
      <c r="B6" s="13">
        <f>Part2!C9</f>
        <v>966.12788743536078</v>
      </c>
      <c r="C6" s="2" t="s">
        <v>150</v>
      </c>
    </row>
    <row r="7" spans="1:3" ht="16" x14ac:dyDescent="0.2">
      <c r="A7" s="17" t="s">
        <v>151</v>
      </c>
      <c r="B7" s="18">
        <f>Part2!I5</f>
        <v>3.4268181792072641</v>
      </c>
      <c r="C7" s="2" t="s">
        <v>152</v>
      </c>
    </row>
    <row r="8" spans="1:3" ht="16" x14ac:dyDescent="0.2">
      <c r="A8" s="17" t="s">
        <v>153</v>
      </c>
      <c r="B8" s="14">
        <f>Part2!I8</f>
        <v>-3.3505320214052059E-2</v>
      </c>
      <c r="C8" s="2" t="s">
        <v>154</v>
      </c>
    </row>
    <row r="9" spans="1:3" ht="16" x14ac:dyDescent="0.2">
      <c r="A9" s="17" t="s">
        <v>155</v>
      </c>
      <c r="B9" s="18">
        <f>Part2!I9</f>
        <v>-3.4268181792072638E-2</v>
      </c>
      <c r="C9" s="2" t="s">
        <v>156</v>
      </c>
    </row>
    <row r="10" spans="1:3" ht="16" x14ac:dyDescent="0.2">
      <c r="A10" s="17" t="s">
        <v>157</v>
      </c>
      <c r="B10" s="18">
        <f>Part3!G7</f>
        <v>4.0964371438618272</v>
      </c>
      <c r="C10" s="2" t="s">
        <v>158</v>
      </c>
    </row>
    <row r="11" spans="1:3" ht="16" x14ac:dyDescent="0.2">
      <c r="A11" s="17" t="s">
        <v>159</v>
      </c>
      <c r="B11" s="18">
        <f>Part3!G8</f>
        <v>10.844484594232936</v>
      </c>
      <c r="C11" s="2" t="s">
        <v>160</v>
      </c>
    </row>
    <row r="12" spans="1:3" ht="16" x14ac:dyDescent="0.2">
      <c r="A12" s="17" t="s">
        <v>161</v>
      </c>
      <c r="B12" s="18">
        <f>Part3!G12</f>
        <v>14.311408001160039</v>
      </c>
      <c r="C12" s="2" t="s">
        <v>162</v>
      </c>
    </row>
    <row r="13" spans="1:3" ht="16" x14ac:dyDescent="0.2">
      <c r="A13" s="17" t="s">
        <v>163</v>
      </c>
      <c r="B13" s="18">
        <f>Part3!G15</f>
        <v>18.518518518518519</v>
      </c>
      <c r="C13" s="2" t="s">
        <v>164</v>
      </c>
    </row>
    <row r="14" spans="1:3" ht="16" x14ac:dyDescent="0.2">
      <c r="A14" s="17" t="s">
        <v>165</v>
      </c>
      <c r="B14" s="18">
        <f>Part3!G16</f>
        <v>19.417475728155338</v>
      </c>
      <c r="C14" s="2" t="s">
        <v>166</v>
      </c>
    </row>
    <row r="15" spans="1:3" ht="16" x14ac:dyDescent="0.2">
      <c r="A15" s="17" t="s">
        <v>167</v>
      </c>
      <c r="B15" s="13">
        <f>Part4!K4</f>
        <v>1042.9605675048529</v>
      </c>
      <c r="C15" s="2" t="s">
        <v>168</v>
      </c>
    </row>
    <row r="16" spans="1:3" ht="16" x14ac:dyDescent="0.2">
      <c r="A16" s="17" t="s">
        <v>169</v>
      </c>
      <c r="B16" s="14">
        <f>Part4!K9</f>
        <v>-2.4380684409128883E-2</v>
      </c>
      <c r="C16" s="2" t="s">
        <v>170</v>
      </c>
    </row>
    <row r="17" spans="1:3" ht="16" x14ac:dyDescent="0.2">
      <c r="A17" s="17" t="s">
        <v>171</v>
      </c>
      <c r="B17" s="14">
        <f>Part4!K11</f>
        <v>-2.6167644692733028E-2</v>
      </c>
      <c r="C17" s="2" t="s">
        <v>172</v>
      </c>
    </row>
    <row r="18" spans="1:3" ht="16" x14ac:dyDescent="0.2">
      <c r="A18" s="17" t="s">
        <v>173</v>
      </c>
      <c r="B18" s="18">
        <f>Part5!F5</f>
        <v>14.719658683630623</v>
      </c>
      <c r="C18" s="2" t="s">
        <v>174</v>
      </c>
    </row>
    <row r="19" spans="1:3" ht="16" x14ac:dyDescent="0.2">
      <c r="A19" s="17" t="s">
        <v>175</v>
      </c>
      <c r="B19" s="18">
        <f>Part5!F6</f>
        <v>305.12130982056976</v>
      </c>
      <c r="C19" s="2" t="s">
        <v>176</v>
      </c>
    </row>
    <row r="20" spans="1:3" ht="16" x14ac:dyDescent="0.2">
      <c r="A20" s="17" t="s">
        <v>177</v>
      </c>
      <c r="B20" s="14">
        <f>Part5!F11</f>
        <v>1.609642173897613E-3</v>
      </c>
      <c r="C20" s="2" t="s">
        <v>178</v>
      </c>
    </row>
    <row r="21" spans="1:3" ht="16" x14ac:dyDescent="0.2">
      <c r="A21" s="17" t="s">
        <v>179</v>
      </c>
      <c r="B21" s="18">
        <f>Part5!F13</f>
        <v>0.14719658683630624</v>
      </c>
      <c r="C21" s="2" t="s">
        <v>180</v>
      </c>
    </row>
    <row r="24" spans="1:3" x14ac:dyDescent="0.2">
      <c r="A24" s="1" t="s">
        <v>181</v>
      </c>
    </row>
    <row r="25" spans="1:3" ht="28" customHeight="1" x14ac:dyDescent="0.2">
      <c r="A25" s="4" t="s">
        <v>182</v>
      </c>
      <c r="B25" s="47" t="s">
        <v>183</v>
      </c>
      <c r="C25" s="46"/>
    </row>
    <row r="26" spans="1:3" ht="40" customHeight="1" x14ac:dyDescent="0.2">
      <c r="A26" s="4" t="s">
        <v>184</v>
      </c>
      <c r="B26" s="47" t="s">
        <v>185</v>
      </c>
      <c r="C26" s="46"/>
    </row>
    <row r="27" spans="1:3" ht="32" customHeight="1" x14ac:dyDescent="0.2">
      <c r="A27" s="4" t="s">
        <v>186</v>
      </c>
      <c r="B27" s="47" t="s">
        <v>187</v>
      </c>
      <c r="C27" s="46"/>
    </row>
  </sheetData>
  <mergeCells count="4">
    <mergeCell ref="A1:C1"/>
    <mergeCell ref="B27:C27"/>
    <mergeCell ref="B25:C25"/>
    <mergeCell ref="B26:C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Start_Here</vt:lpstr>
      <vt:lpstr>Part1</vt:lpstr>
      <vt:lpstr>Sheet1</vt:lpstr>
      <vt:lpstr>Sheet2</vt:lpstr>
      <vt:lpstr>Part2</vt:lpstr>
      <vt:lpstr>Part3</vt:lpstr>
      <vt:lpstr>Part5</vt:lpstr>
      <vt:lpstr>Part4</vt:lpstr>
      <vt:lpstr>Solution_Summary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Wenning, Derek Thomas</cp:lastModifiedBy>
  <dcterms:created xsi:type="dcterms:W3CDTF">2026-03-26T18:56:00Z</dcterms:created>
  <dcterms:modified xsi:type="dcterms:W3CDTF">2026-03-30T14:55:18Z</dcterms:modified>
</cp:coreProperties>
</file>