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twennin/Dropbox/Teaching_IU/F420_S2026/Problem_Sets/PS6/"/>
    </mc:Choice>
  </mc:AlternateContent>
  <xr:revisionPtr revIDLastSave="0" documentId="8_{C3C49BBA-BF06-8A46-B506-7568C6888114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Start_Here" sheetId="1" r:id="rId1"/>
    <sheet name="Part1" sheetId="2" r:id="rId2"/>
    <sheet name="Sheet1" sheetId="8" r:id="rId3"/>
    <sheet name="Part2" sheetId="3" r:id="rId4"/>
    <sheet name="Part3" sheetId="4" r:id="rId5"/>
    <sheet name="Part5" sheetId="6" r:id="rId6"/>
    <sheet name="Part4" sheetId="5" r:id="rId7"/>
    <sheet name="Solution_Summary" sheetId="7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8" l="1"/>
  <c r="D9" i="8"/>
  <c r="E9" i="8"/>
  <c r="B9" i="8"/>
  <c r="C7" i="8"/>
  <c r="D7" i="8"/>
  <c r="E7" i="8"/>
  <c r="B7" i="8"/>
  <c r="C6" i="8"/>
  <c r="D6" i="8"/>
  <c r="E6" i="8"/>
  <c r="B6" i="8"/>
  <c r="G6" i="2"/>
  <c r="N74" i="8"/>
  <c r="O74" i="8" s="1"/>
  <c r="J74" i="8"/>
  <c r="K74" i="8" s="1"/>
  <c r="F74" i="8"/>
  <c r="G74" i="8" s="1"/>
  <c r="B74" i="8"/>
  <c r="C74" i="8" s="1"/>
  <c r="N73" i="8"/>
  <c r="O73" i="8" s="1"/>
  <c r="J73" i="8"/>
  <c r="K73" i="8" s="1"/>
  <c r="F73" i="8"/>
  <c r="G73" i="8" s="1"/>
  <c r="B73" i="8"/>
  <c r="C73" i="8" s="1"/>
  <c r="N72" i="8"/>
  <c r="O72" i="8" s="1"/>
  <c r="J72" i="8"/>
  <c r="K72" i="8" s="1"/>
  <c r="F72" i="8"/>
  <c r="G72" i="8" s="1"/>
  <c r="B72" i="8"/>
  <c r="C72" i="8" s="1"/>
  <c r="N71" i="8"/>
  <c r="O71" i="8" s="1"/>
  <c r="J71" i="8"/>
  <c r="K71" i="8" s="1"/>
  <c r="F71" i="8"/>
  <c r="G71" i="8" s="1"/>
  <c r="B71" i="8"/>
  <c r="C71" i="8" s="1"/>
  <c r="N70" i="8"/>
  <c r="O70" i="8" s="1"/>
  <c r="J70" i="8"/>
  <c r="K70" i="8" s="1"/>
  <c r="F70" i="8"/>
  <c r="G70" i="8" s="1"/>
  <c r="B70" i="8"/>
  <c r="C70" i="8" s="1"/>
  <c r="N69" i="8"/>
  <c r="O69" i="8" s="1"/>
  <c r="J69" i="8"/>
  <c r="K69" i="8" s="1"/>
  <c r="F69" i="8"/>
  <c r="G69" i="8" s="1"/>
  <c r="B69" i="8"/>
  <c r="C69" i="8" s="1"/>
  <c r="N68" i="8"/>
  <c r="O68" i="8" s="1"/>
  <c r="J68" i="8"/>
  <c r="K68" i="8" s="1"/>
  <c r="F68" i="8"/>
  <c r="G68" i="8" s="1"/>
  <c r="B68" i="8"/>
  <c r="C68" i="8" s="1"/>
  <c r="N67" i="8"/>
  <c r="O67" i="8" s="1"/>
  <c r="J67" i="8"/>
  <c r="K67" i="8" s="1"/>
  <c r="F67" i="8"/>
  <c r="G67" i="8" s="1"/>
  <c r="B67" i="8"/>
  <c r="C67" i="8" s="1"/>
  <c r="N66" i="8"/>
  <c r="O66" i="8" s="1"/>
  <c r="J66" i="8"/>
  <c r="K66" i="8" s="1"/>
  <c r="F66" i="8"/>
  <c r="G66" i="8" s="1"/>
  <c r="B66" i="8"/>
  <c r="C66" i="8" s="1"/>
  <c r="N65" i="8"/>
  <c r="O65" i="8" s="1"/>
  <c r="J65" i="8"/>
  <c r="K65" i="8" s="1"/>
  <c r="F65" i="8"/>
  <c r="G65" i="8" s="1"/>
  <c r="B65" i="8"/>
  <c r="C65" i="8" s="1"/>
  <c r="N64" i="8"/>
  <c r="O64" i="8" s="1"/>
  <c r="J64" i="8"/>
  <c r="K64" i="8" s="1"/>
  <c r="F64" i="8"/>
  <c r="G64" i="8" s="1"/>
  <c r="B64" i="8"/>
  <c r="C64" i="8" s="1"/>
  <c r="N63" i="8"/>
  <c r="O63" i="8" s="1"/>
  <c r="J63" i="8"/>
  <c r="K63" i="8" s="1"/>
  <c r="F63" i="8"/>
  <c r="G63" i="8" s="1"/>
  <c r="B63" i="8"/>
  <c r="C63" i="8" s="1"/>
  <c r="N62" i="8"/>
  <c r="O62" i="8" s="1"/>
  <c r="J62" i="8"/>
  <c r="K62" i="8" s="1"/>
  <c r="F62" i="8"/>
  <c r="G62" i="8" s="1"/>
  <c r="B62" i="8"/>
  <c r="C62" i="8" s="1"/>
  <c r="N61" i="8"/>
  <c r="O61" i="8" s="1"/>
  <c r="J61" i="8"/>
  <c r="K61" i="8" s="1"/>
  <c r="F61" i="8"/>
  <c r="G61" i="8" s="1"/>
  <c r="B61" i="8"/>
  <c r="C61" i="8" s="1"/>
  <c r="N60" i="8"/>
  <c r="O60" i="8" s="1"/>
  <c r="J60" i="8"/>
  <c r="K60" i="8" s="1"/>
  <c r="F60" i="8"/>
  <c r="G60" i="8" s="1"/>
  <c r="B60" i="8"/>
  <c r="C60" i="8" s="1"/>
  <c r="N59" i="8"/>
  <c r="O59" i="8" s="1"/>
  <c r="J59" i="8"/>
  <c r="K59" i="8" s="1"/>
  <c r="F59" i="8"/>
  <c r="G59" i="8" s="1"/>
  <c r="B59" i="8"/>
  <c r="C59" i="8" s="1"/>
  <c r="N58" i="8"/>
  <c r="O58" i="8" s="1"/>
  <c r="J58" i="8"/>
  <c r="K58" i="8" s="1"/>
  <c r="F58" i="8"/>
  <c r="G58" i="8" s="1"/>
  <c r="B58" i="8"/>
  <c r="C58" i="8" s="1"/>
  <c r="N57" i="8"/>
  <c r="O57" i="8" s="1"/>
  <c r="J57" i="8"/>
  <c r="K57" i="8" s="1"/>
  <c r="F57" i="8"/>
  <c r="G57" i="8" s="1"/>
  <c r="B57" i="8"/>
  <c r="C57" i="8" s="1"/>
  <c r="N56" i="8"/>
  <c r="O56" i="8" s="1"/>
  <c r="J56" i="8"/>
  <c r="K56" i="8" s="1"/>
  <c r="F56" i="8"/>
  <c r="G56" i="8" s="1"/>
  <c r="B56" i="8"/>
  <c r="C56" i="8" s="1"/>
  <c r="N55" i="8"/>
  <c r="O55" i="8" s="1"/>
  <c r="J55" i="8"/>
  <c r="K55" i="8" s="1"/>
  <c r="F55" i="8"/>
  <c r="G55" i="8" s="1"/>
  <c r="B55" i="8"/>
  <c r="C55" i="8" s="1"/>
  <c r="N54" i="8"/>
  <c r="O54" i="8" s="1"/>
  <c r="J54" i="8"/>
  <c r="K54" i="8" s="1"/>
  <c r="F54" i="8"/>
  <c r="G54" i="8" s="1"/>
  <c r="B54" i="8"/>
  <c r="C54" i="8" s="1"/>
  <c r="N53" i="8"/>
  <c r="O53" i="8" s="1"/>
  <c r="J53" i="8"/>
  <c r="K53" i="8" s="1"/>
  <c r="F53" i="8"/>
  <c r="G53" i="8" s="1"/>
  <c r="B53" i="8"/>
  <c r="C53" i="8" s="1"/>
  <c r="N52" i="8"/>
  <c r="O52" i="8" s="1"/>
  <c r="J52" i="8"/>
  <c r="K52" i="8" s="1"/>
  <c r="F52" i="8"/>
  <c r="G52" i="8" s="1"/>
  <c r="B52" i="8"/>
  <c r="C52" i="8" s="1"/>
  <c r="N51" i="8"/>
  <c r="O51" i="8" s="1"/>
  <c r="J51" i="8"/>
  <c r="K51" i="8" s="1"/>
  <c r="F51" i="8"/>
  <c r="G51" i="8" s="1"/>
  <c r="B51" i="8"/>
  <c r="C51" i="8" s="1"/>
  <c r="N50" i="8"/>
  <c r="O50" i="8" s="1"/>
  <c r="J50" i="8"/>
  <c r="K50" i="8" s="1"/>
  <c r="F50" i="8"/>
  <c r="G50" i="8" s="1"/>
  <c r="B50" i="8"/>
  <c r="C50" i="8" s="1"/>
  <c r="N49" i="8"/>
  <c r="O49" i="8" s="1"/>
  <c r="J49" i="8"/>
  <c r="K49" i="8" s="1"/>
  <c r="F49" i="8"/>
  <c r="G49" i="8" s="1"/>
  <c r="B49" i="8"/>
  <c r="C49" i="8" s="1"/>
  <c r="N48" i="8"/>
  <c r="O48" i="8" s="1"/>
  <c r="J48" i="8"/>
  <c r="K48" i="8" s="1"/>
  <c r="F48" i="8"/>
  <c r="G48" i="8" s="1"/>
  <c r="B48" i="8"/>
  <c r="C48" i="8" s="1"/>
  <c r="N47" i="8"/>
  <c r="O47" i="8" s="1"/>
  <c r="J47" i="8"/>
  <c r="K47" i="8" s="1"/>
  <c r="F47" i="8"/>
  <c r="G47" i="8" s="1"/>
  <c r="B47" i="8"/>
  <c r="C47" i="8" s="1"/>
  <c r="N46" i="8"/>
  <c r="O46" i="8" s="1"/>
  <c r="J46" i="8"/>
  <c r="K46" i="8" s="1"/>
  <c r="F46" i="8"/>
  <c r="G46" i="8" s="1"/>
  <c r="B46" i="8"/>
  <c r="C46" i="8" s="1"/>
  <c r="N45" i="8"/>
  <c r="O45" i="8" s="1"/>
  <c r="J45" i="8"/>
  <c r="K45" i="8" s="1"/>
  <c r="F45" i="8"/>
  <c r="G45" i="8" s="1"/>
  <c r="B45" i="8"/>
  <c r="C45" i="8" s="1"/>
  <c r="N44" i="8"/>
  <c r="O44" i="8" s="1"/>
  <c r="J44" i="8"/>
  <c r="K44" i="8" s="1"/>
  <c r="F44" i="8"/>
  <c r="G44" i="8" s="1"/>
  <c r="B44" i="8"/>
  <c r="C44" i="8" s="1"/>
  <c r="N43" i="8"/>
  <c r="O43" i="8" s="1"/>
  <c r="J43" i="8"/>
  <c r="K43" i="8" s="1"/>
  <c r="F43" i="8"/>
  <c r="G43" i="8" s="1"/>
  <c r="B43" i="8"/>
  <c r="C43" i="8" s="1"/>
  <c r="N42" i="8"/>
  <c r="O42" i="8" s="1"/>
  <c r="J42" i="8"/>
  <c r="K42" i="8" s="1"/>
  <c r="F42" i="8"/>
  <c r="G42" i="8" s="1"/>
  <c r="B42" i="8"/>
  <c r="C42" i="8" s="1"/>
  <c r="N41" i="8"/>
  <c r="O41" i="8" s="1"/>
  <c r="J41" i="8"/>
  <c r="K41" i="8" s="1"/>
  <c r="F41" i="8"/>
  <c r="G41" i="8" s="1"/>
  <c r="B41" i="8"/>
  <c r="C41" i="8" s="1"/>
  <c r="N40" i="8"/>
  <c r="O40" i="8" s="1"/>
  <c r="J40" i="8"/>
  <c r="K40" i="8" s="1"/>
  <c r="F40" i="8"/>
  <c r="G40" i="8" s="1"/>
  <c r="B40" i="8"/>
  <c r="C40" i="8" s="1"/>
  <c r="N39" i="8"/>
  <c r="O39" i="8" s="1"/>
  <c r="J39" i="8"/>
  <c r="K39" i="8" s="1"/>
  <c r="F39" i="8"/>
  <c r="G39" i="8" s="1"/>
  <c r="B39" i="8"/>
  <c r="C39" i="8" s="1"/>
  <c r="N38" i="8"/>
  <c r="O38" i="8" s="1"/>
  <c r="J38" i="8"/>
  <c r="K38" i="8" s="1"/>
  <c r="F38" i="8"/>
  <c r="G38" i="8" s="1"/>
  <c r="B38" i="8"/>
  <c r="C38" i="8" s="1"/>
  <c r="N37" i="8"/>
  <c r="O37" i="8" s="1"/>
  <c r="J37" i="8"/>
  <c r="K37" i="8" s="1"/>
  <c r="F37" i="8"/>
  <c r="G37" i="8" s="1"/>
  <c r="B37" i="8"/>
  <c r="C37" i="8" s="1"/>
  <c r="N36" i="8"/>
  <c r="O36" i="8" s="1"/>
  <c r="J36" i="8"/>
  <c r="K36" i="8" s="1"/>
  <c r="F36" i="8"/>
  <c r="G36" i="8" s="1"/>
  <c r="B36" i="8"/>
  <c r="C36" i="8" s="1"/>
  <c r="N35" i="8"/>
  <c r="O35" i="8" s="1"/>
  <c r="J35" i="8"/>
  <c r="K35" i="8" s="1"/>
  <c r="F35" i="8"/>
  <c r="G35" i="8" s="1"/>
  <c r="B35" i="8"/>
  <c r="C35" i="8" s="1"/>
  <c r="N34" i="8"/>
  <c r="O34" i="8" s="1"/>
  <c r="J34" i="8"/>
  <c r="K34" i="8" s="1"/>
  <c r="F34" i="8"/>
  <c r="G34" i="8" s="1"/>
  <c r="B34" i="8"/>
  <c r="C34" i="8" s="1"/>
  <c r="N33" i="8"/>
  <c r="O33" i="8" s="1"/>
  <c r="J33" i="8"/>
  <c r="K33" i="8" s="1"/>
  <c r="F33" i="8"/>
  <c r="G33" i="8" s="1"/>
  <c r="B33" i="8"/>
  <c r="C33" i="8" s="1"/>
  <c r="N32" i="8"/>
  <c r="O32" i="8" s="1"/>
  <c r="J32" i="8"/>
  <c r="K32" i="8" s="1"/>
  <c r="F32" i="8"/>
  <c r="G32" i="8" s="1"/>
  <c r="B32" i="8"/>
  <c r="C32" i="8" s="1"/>
  <c r="N31" i="8"/>
  <c r="O31" i="8" s="1"/>
  <c r="J31" i="8"/>
  <c r="K31" i="8" s="1"/>
  <c r="F31" i="8"/>
  <c r="G31" i="8" s="1"/>
  <c r="B31" i="8"/>
  <c r="C31" i="8" s="1"/>
  <c r="N30" i="8"/>
  <c r="O30" i="8" s="1"/>
  <c r="J30" i="8"/>
  <c r="K30" i="8" s="1"/>
  <c r="F30" i="8"/>
  <c r="G30" i="8" s="1"/>
  <c r="B30" i="8"/>
  <c r="C30" i="8" s="1"/>
  <c r="N29" i="8"/>
  <c r="O29" i="8" s="1"/>
  <c r="J29" i="8"/>
  <c r="K29" i="8" s="1"/>
  <c r="F29" i="8"/>
  <c r="G29" i="8" s="1"/>
  <c r="B29" i="8"/>
  <c r="C29" i="8" s="1"/>
  <c r="N28" i="8"/>
  <c r="O28" i="8" s="1"/>
  <c r="J28" i="8"/>
  <c r="K28" i="8" s="1"/>
  <c r="F28" i="8"/>
  <c r="G28" i="8" s="1"/>
  <c r="B28" i="8"/>
  <c r="C28" i="8" s="1"/>
  <c r="N27" i="8"/>
  <c r="O27" i="8" s="1"/>
  <c r="J27" i="8"/>
  <c r="K27" i="8" s="1"/>
  <c r="F27" i="8"/>
  <c r="G27" i="8" s="1"/>
  <c r="B27" i="8"/>
  <c r="C27" i="8" s="1"/>
  <c r="N26" i="8"/>
  <c r="O26" i="8" s="1"/>
  <c r="J26" i="8"/>
  <c r="K26" i="8" s="1"/>
  <c r="F26" i="8"/>
  <c r="G26" i="8" s="1"/>
  <c r="B26" i="8"/>
  <c r="C26" i="8" s="1"/>
  <c r="N25" i="8"/>
  <c r="O25" i="8" s="1"/>
  <c r="J25" i="8"/>
  <c r="K25" i="8" s="1"/>
  <c r="F25" i="8"/>
  <c r="G25" i="8" s="1"/>
  <c r="B25" i="8"/>
  <c r="C25" i="8" s="1"/>
  <c r="N24" i="8"/>
  <c r="O24" i="8" s="1"/>
  <c r="J24" i="8"/>
  <c r="K24" i="8" s="1"/>
  <c r="F24" i="8"/>
  <c r="G24" i="8" s="1"/>
  <c r="B24" i="8"/>
  <c r="C24" i="8" s="1"/>
  <c r="N23" i="8"/>
  <c r="O23" i="8" s="1"/>
  <c r="J23" i="8"/>
  <c r="K23" i="8" s="1"/>
  <c r="F23" i="8"/>
  <c r="G23" i="8" s="1"/>
  <c r="B23" i="8"/>
  <c r="C23" i="8" s="1"/>
  <c r="N22" i="8"/>
  <c r="O22" i="8" s="1"/>
  <c r="J22" i="8"/>
  <c r="K22" i="8" s="1"/>
  <c r="F22" i="8"/>
  <c r="G22" i="8" s="1"/>
  <c r="B22" i="8"/>
  <c r="C22" i="8" s="1"/>
  <c r="N21" i="8"/>
  <c r="O21" i="8" s="1"/>
  <c r="J21" i="8"/>
  <c r="K21" i="8" s="1"/>
  <c r="F21" i="8"/>
  <c r="G21" i="8" s="1"/>
  <c r="B21" i="8"/>
  <c r="C21" i="8" s="1"/>
  <c r="N20" i="8"/>
  <c r="O20" i="8" s="1"/>
  <c r="J20" i="8"/>
  <c r="K20" i="8" s="1"/>
  <c r="F20" i="8"/>
  <c r="G20" i="8" s="1"/>
  <c r="B20" i="8"/>
  <c r="C20" i="8" s="1"/>
  <c r="N19" i="8"/>
  <c r="O19" i="8" s="1"/>
  <c r="J19" i="8"/>
  <c r="K19" i="8" s="1"/>
  <c r="F19" i="8"/>
  <c r="G19" i="8" s="1"/>
  <c r="B19" i="8"/>
  <c r="C19" i="8" s="1"/>
  <c r="N18" i="8"/>
  <c r="O18" i="8" s="1"/>
  <c r="J18" i="8"/>
  <c r="K18" i="8" s="1"/>
  <c r="F18" i="8"/>
  <c r="G18" i="8" s="1"/>
  <c r="B18" i="8"/>
  <c r="C18" i="8" s="1"/>
  <c r="N17" i="8"/>
  <c r="O17" i="8" s="1"/>
  <c r="J17" i="8"/>
  <c r="K17" i="8" s="1"/>
  <c r="F17" i="8"/>
  <c r="G17" i="8" s="1"/>
  <c r="B17" i="8"/>
  <c r="C17" i="8" s="1"/>
  <c r="N16" i="8"/>
  <c r="O16" i="8" s="1"/>
  <c r="J16" i="8"/>
  <c r="K16" i="8" s="1"/>
  <c r="F16" i="8"/>
  <c r="G16" i="8" s="1"/>
  <c r="B16" i="8"/>
  <c r="C16" i="8" s="1"/>
  <c r="N15" i="8"/>
  <c r="O15" i="8" s="1"/>
  <c r="J15" i="8"/>
  <c r="K15" i="8" s="1"/>
  <c r="F15" i="8"/>
  <c r="G15" i="8" s="1"/>
  <c r="B15" i="8"/>
  <c r="C15" i="8" s="1"/>
  <c r="P23" i="8" l="1"/>
  <c r="Q23" i="8" s="1"/>
  <c r="L18" i="8"/>
  <c r="M18" i="8" s="1"/>
  <c r="L31" i="8"/>
  <c r="M31" i="8" s="1"/>
  <c r="H48" i="8"/>
  <c r="I48" i="8" s="1"/>
  <c r="D21" i="8"/>
  <c r="E21" i="8" s="1"/>
  <c r="D29" i="8"/>
  <c r="E29" i="8" s="1"/>
  <c r="P41" i="8"/>
  <c r="Q41" i="8" s="1"/>
  <c r="L51" i="8"/>
  <c r="M51" i="8" s="1"/>
  <c r="H61" i="8"/>
  <c r="I61" i="8" s="1"/>
  <c r="H67" i="8"/>
  <c r="I67" i="8" s="1"/>
  <c r="P69" i="8"/>
  <c r="Q69" i="8" s="1"/>
  <c r="H34" i="8"/>
  <c r="I34" i="8" s="1"/>
  <c r="D42" i="8"/>
  <c r="E42" i="8" s="1"/>
  <c r="H45" i="8"/>
  <c r="I45" i="8" s="1"/>
  <c r="P51" i="8"/>
  <c r="Q51" i="8" s="1"/>
  <c r="D55" i="8"/>
  <c r="E55" i="8" s="1"/>
  <c r="L67" i="8"/>
  <c r="M67" i="8" s="1"/>
  <c r="L58" i="8"/>
  <c r="M58" i="8" s="1"/>
  <c r="P61" i="8"/>
  <c r="Q61" i="8" s="1"/>
  <c r="D70" i="8"/>
  <c r="E70" i="8" s="1"/>
  <c r="P72" i="8"/>
  <c r="Q72" i="8" s="1"/>
  <c r="D68" i="8"/>
  <c r="E68" i="8" s="1"/>
  <c r="L16" i="8"/>
  <c r="M16" i="8" s="1"/>
  <c r="P64" i="8"/>
  <c r="Q64" i="8" s="1"/>
  <c r="H27" i="8"/>
  <c r="I27" i="8" s="1"/>
  <c r="L39" i="8"/>
  <c r="M39" i="8" s="1"/>
  <c r="D22" i="8"/>
  <c r="E22" i="8" s="1"/>
  <c r="D43" i="8"/>
  <c r="E43" i="8" s="1"/>
  <c r="H46" i="8"/>
  <c r="I46" i="8" s="1"/>
  <c r="L52" i="8"/>
  <c r="M52" i="8" s="1"/>
  <c r="D56" i="8"/>
  <c r="E56" i="8" s="1"/>
  <c r="H62" i="8"/>
  <c r="I62" i="8" s="1"/>
  <c r="H65" i="8"/>
  <c r="I65" i="8" s="1"/>
  <c r="H73" i="8"/>
  <c r="I73" i="8" s="1"/>
  <c r="P58" i="8"/>
  <c r="Q58" i="8" s="1"/>
  <c r="P21" i="8"/>
  <c r="Q21" i="8" s="1"/>
  <c r="P34" i="8"/>
  <c r="Q34" i="8" s="1"/>
  <c r="P42" i="8"/>
  <c r="Q42" i="8" s="1"/>
  <c r="P24" i="8"/>
  <c r="Q24" i="8" s="1"/>
  <c r="L32" i="8"/>
  <c r="M32" i="8" s="1"/>
  <c r="H59" i="8"/>
  <c r="I59" i="8" s="1"/>
  <c r="D35" i="8"/>
  <c r="E35" i="8" s="1"/>
  <c r="L46" i="8"/>
  <c r="M46" i="8" s="1"/>
  <c r="L65" i="8"/>
  <c r="M65" i="8" s="1"/>
  <c r="H24" i="8"/>
  <c r="I24" i="8" s="1"/>
  <c r="D19" i="8"/>
  <c r="E19" i="8" s="1"/>
  <c r="H39" i="8"/>
  <c r="I39" i="8" s="1"/>
  <c r="P29" i="8"/>
  <c r="Q29" i="8" s="1"/>
  <c r="P55" i="8"/>
  <c r="Q55" i="8" s="1"/>
  <c r="H17" i="8"/>
  <c r="I17" i="8" s="1"/>
  <c r="P19" i="8"/>
  <c r="Q19" i="8" s="1"/>
  <c r="P27" i="8"/>
  <c r="Q27" i="8" s="1"/>
  <c r="L43" i="8"/>
  <c r="M43" i="8" s="1"/>
  <c r="D53" i="8"/>
  <c r="E53" i="8" s="1"/>
  <c r="L56" i="8"/>
  <c r="M56" i="8" s="1"/>
  <c r="P62" i="8"/>
  <c r="Q62" i="8" s="1"/>
  <c r="P65" i="8"/>
  <c r="Q65" i="8" s="1"/>
  <c r="P68" i="8"/>
  <c r="Q68" i="8" s="1"/>
  <c r="D71" i="8"/>
  <c r="E71" i="8" s="1"/>
  <c r="L73" i="8"/>
  <c r="M73" i="8" s="1"/>
  <c r="L21" i="8"/>
  <c r="M21" i="8" s="1"/>
  <c r="D49" i="8"/>
  <c r="E49" i="8" s="1"/>
  <c r="P16" i="8"/>
  <c r="Q16" i="8" s="1"/>
  <c r="P20" i="8"/>
  <c r="Q20" i="8" s="1"/>
  <c r="P54" i="8"/>
  <c r="Q54" i="8" s="1"/>
  <c r="P49" i="8"/>
  <c r="Q49" i="8" s="1"/>
  <c r="P44" i="8"/>
  <c r="Q44" i="8" s="1"/>
  <c r="P30" i="8"/>
  <c r="Q30" i="8" s="1"/>
  <c r="H32" i="8"/>
  <c r="I32" i="8" s="1"/>
  <c r="H25" i="8"/>
  <c r="I25" i="8" s="1"/>
  <c r="D50" i="8"/>
  <c r="E50" i="8" s="1"/>
  <c r="H53" i="8"/>
  <c r="I53" i="8" s="1"/>
  <c r="P56" i="8"/>
  <c r="Q56" i="8" s="1"/>
  <c r="D63" i="8"/>
  <c r="E63" i="8" s="1"/>
  <c r="L45" i="8"/>
  <c r="M45" i="8" s="1"/>
  <c r="D27" i="8"/>
  <c r="E27" i="8" s="1"/>
  <c r="L29" i="8"/>
  <c r="M29" i="8" s="1"/>
  <c r="H19" i="8"/>
  <c r="I19" i="8" s="1"/>
  <c r="L24" i="8"/>
  <c r="M24" i="8" s="1"/>
  <c r="H37" i="8"/>
  <c r="I37" i="8" s="1"/>
  <c r="H20" i="8"/>
  <c r="I20" i="8" s="1"/>
  <c r="L71" i="8"/>
  <c r="M71" i="8" s="1"/>
  <c r="D74" i="8"/>
  <c r="E74" i="8" s="1"/>
  <c r="L36" i="8"/>
  <c r="M36" i="8" s="1"/>
  <c r="L17" i="8"/>
  <c r="M17" i="8" s="1"/>
  <c r="P43" i="8"/>
  <c r="Q43" i="8" s="1"/>
  <c r="H30" i="8"/>
  <c r="I30" i="8" s="1"/>
  <c r="L53" i="8"/>
  <c r="M53" i="8" s="1"/>
  <c r="P22" i="8"/>
  <c r="Q22" i="8" s="1"/>
  <c r="H33" i="8"/>
  <c r="I33" i="8" s="1"/>
  <c r="P35" i="8"/>
  <c r="Q35" i="8" s="1"/>
  <c r="P40" i="8"/>
  <c r="Q40" i="8" s="1"/>
  <c r="L50" i="8"/>
  <c r="M50" i="8" s="1"/>
  <c r="H60" i="8"/>
  <c r="I60" i="8" s="1"/>
  <c r="H55" i="8"/>
  <c r="I55" i="8" s="1"/>
  <c r="D20" i="8"/>
  <c r="E20" i="8" s="1"/>
  <c r="H40" i="8"/>
  <c r="I40" i="8" s="1"/>
  <c r="D28" i="8"/>
  <c r="E28" i="8" s="1"/>
  <c r="D60" i="8"/>
  <c r="E60" i="8" s="1"/>
  <c r="D26" i="8"/>
  <c r="E26" i="8" s="1"/>
  <c r="D36" i="8"/>
  <c r="E36" i="8" s="1"/>
  <c r="H38" i="8"/>
  <c r="I38" i="8" s="1"/>
  <c r="D41" i="8"/>
  <c r="E41" i="8" s="1"/>
  <c r="L44" i="8"/>
  <c r="M44" i="8" s="1"/>
  <c r="P50" i="8"/>
  <c r="Q50" i="8" s="1"/>
  <c r="D54" i="8"/>
  <c r="E54" i="8" s="1"/>
  <c r="L60" i="8"/>
  <c r="M60" i="8" s="1"/>
  <c r="P63" i="8"/>
  <c r="Q63" i="8" s="1"/>
  <c r="L66" i="8"/>
  <c r="M66" i="8" s="1"/>
  <c r="P48" i="8"/>
  <c r="Q48" i="8" s="1"/>
  <c r="L70" i="8"/>
  <c r="M70" i="8" s="1"/>
  <c r="D18" i="8"/>
  <c r="E18" i="8" s="1"/>
  <c r="D25" i="8"/>
  <c r="E25" i="8" s="1"/>
  <c r="D39" i="8"/>
  <c r="E39" i="8" s="1"/>
  <c r="D67" i="8"/>
  <c r="E67" i="8" s="1"/>
  <c r="D62" i="8"/>
  <c r="E62" i="8" s="1"/>
  <c r="D57" i="8"/>
  <c r="E57" i="8" s="1"/>
  <c r="D40" i="8"/>
  <c r="E40" i="8" s="1"/>
  <c r="D32" i="8"/>
  <c r="E32" i="8" s="1"/>
  <c r="D33" i="8"/>
  <c r="E33" i="8" s="1"/>
  <c r="D46" i="8"/>
  <c r="E46" i="8" s="1"/>
  <c r="D15" i="8"/>
  <c r="E15" i="8" s="1"/>
  <c r="D47" i="8"/>
  <c r="E47" i="8" s="1"/>
  <c r="H66" i="8"/>
  <c r="I66" i="8" s="1"/>
  <c r="L49" i="8"/>
  <c r="M49" i="8" s="1"/>
  <c r="H18" i="8"/>
  <c r="I18" i="8" s="1"/>
  <c r="H26" i="8"/>
  <c r="I26" i="8" s="1"/>
  <c r="H41" i="8"/>
  <c r="I41" i="8" s="1"/>
  <c r="P47" i="8"/>
  <c r="Q47" i="8" s="1"/>
  <c r="H54" i="8"/>
  <c r="I54" i="8" s="1"/>
  <c r="L57" i="8"/>
  <c r="M57" i="8" s="1"/>
  <c r="D34" i="8"/>
  <c r="E34" i="8" s="1"/>
  <c r="P36" i="8"/>
  <c r="Q36" i="8" s="1"/>
  <c r="L22" i="8"/>
  <c r="M22" i="8" s="1"/>
  <c r="L30" i="8"/>
  <c r="M30" i="8" s="1"/>
  <c r="P37" i="8"/>
  <c r="Q37" i="8" s="1"/>
  <c r="L25" i="8"/>
  <c r="M25" i="8" s="1"/>
  <c r="D23" i="8"/>
  <c r="E23" i="8" s="1"/>
  <c r="P15" i="8"/>
  <c r="Q15" i="8" s="1"/>
  <c r="L23" i="8"/>
  <c r="M23" i="8" s="1"/>
  <c r="P28" i="8"/>
  <c r="Q28" i="8" s="1"/>
  <c r="H31" i="8"/>
  <c r="I31" i="8" s="1"/>
  <c r="P33" i="8"/>
  <c r="Q33" i="8" s="1"/>
  <c r="L38" i="8"/>
  <c r="M38" i="8" s="1"/>
  <c r="D48" i="8"/>
  <c r="E48" i="8" s="1"/>
  <c r="P57" i="8"/>
  <c r="Q57" i="8" s="1"/>
  <c r="D61" i="8"/>
  <c r="E61" i="8" s="1"/>
  <c r="D64" i="8"/>
  <c r="E64" i="8" s="1"/>
  <c r="H16" i="8"/>
  <c r="I16" i="8" s="1"/>
  <c r="L19" i="8"/>
  <c r="M19" i="8" s="1"/>
  <c r="D24" i="8"/>
  <c r="E24" i="8" s="1"/>
  <c r="L28" i="8"/>
  <c r="M28" i="8" s="1"/>
  <c r="P31" i="8"/>
  <c r="Q31" i="8" s="1"/>
  <c r="H36" i="8"/>
  <c r="I36" i="8" s="1"/>
  <c r="H42" i="8"/>
  <c r="I42" i="8" s="1"/>
  <c r="L54" i="8"/>
  <c r="M54" i="8" s="1"/>
  <c r="H58" i="8"/>
  <c r="I58" i="8" s="1"/>
  <c r="P66" i="8"/>
  <c r="Q66" i="8" s="1"/>
  <c r="P71" i="8"/>
  <c r="Q71" i="8" s="1"/>
  <c r="L37" i="8"/>
  <c r="M37" i="8" s="1"/>
  <c r="L48" i="8"/>
  <c r="M48" i="8" s="1"/>
  <c r="P60" i="8"/>
  <c r="Q60" i="8" s="1"/>
  <c r="H69" i="8"/>
  <c r="I69" i="8" s="1"/>
  <c r="L27" i="8"/>
  <c r="M27" i="8" s="1"/>
  <c r="H35" i="8"/>
  <c r="I35" i="8" s="1"/>
  <c r="P38" i="8"/>
  <c r="Q38" i="8" s="1"/>
  <c r="L42" i="8"/>
  <c r="M42" i="8" s="1"/>
  <c r="H47" i="8"/>
  <c r="I47" i="8" s="1"/>
  <c r="D51" i="8"/>
  <c r="E51" i="8" s="1"/>
  <c r="H52" i="8"/>
  <c r="I52" i="8" s="1"/>
  <c r="L59" i="8"/>
  <c r="M59" i="8" s="1"/>
  <c r="H63" i="8"/>
  <c r="I63" i="8" s="1"/>
  <c r="L64" i="8"/>
  <c r="M64" i="8" s="1"/>
  <c r="L69" i="8"/>
  <c r="M69" i="8" s="1"/>
  <c r="P70" i="8"/>
  <c r="Q70" i="8" s="1"/>
  <c r="D72" i="8"/>
  <c r="E72" i="8" s="1"/>
  <c r="D45" i="8"/>
  <c r="E45" i="8" s="1"/>
  <c r="H57" i="8"/>
  <c r="I57" i="8" s="1"/>
  <c r="D31" i="8"/>
  <c r="E31" i="8" s="1"/>
  <c r="L35" i="8"/>
  <c r="M35" i="8" s="1"/>
  <c r="P59" i="8"/>
  <c r="Q59" i="8" s="1"/>
  <c r="L63" i="8"/>
  <c r="M63" i="8" s="1"/>
  <c r="H68" i="8"/>
  <c r="I68" i="8" s="1"/>
  <c r="H72" i="8"/>
  <c r="I72" i="8" s="1"/>
  <c r="L15" i="8"/>
  <c r="M15" i="8" s="1"/>
  <c r="L41" i="8"/>
  <c r="M41" i="8" s="1"/>
  <c r="P53" i="8"/>
  <c r="Q53" i="8" s="1"/>
  <c r="D66" i="8"/>
  <c r="E66" i="8" s="1"/>
  <c r="P17" i="8"/>
  <c r="Q17" i="8" s="1"/>
  <c r="H22" i="8"/>
  <c r="I22" i="8" s="1"/>
  <c r="P26" i="8"/>
  <c r="Q26" i="8" s="1"/>
  <c r="D30" i="8"/>
  <c r="E30" i="8" s="1"/>
  <c r="L34" i="8"/>
  <c r="M34" i="8" s="1"/>
  <c r="D38" i="8"/>
  <c r="E38" i="8" s="1"/>
  <c r="D44" i="8"/>
  <c r="E44" i="8" s="1"/>
  <c r="H56" i="8"/>
  <c r="I56" i="8" s="1"/>
  <c r="L68" i="8"/>
  <c r="M68" i="8" s="1"/>
  <c r="H51" i="8"/>
  <c r="I51" i="8" s="1"/>
  <c r="H50" i="8"/>
  <c r="I50" i="8" s="1"/>
  <c r="L62" i="8"/>
  <c r="M62" i="8" s="1"/>
  <c r="H71" i="8"/>
  <c r="I71" i="8" s="1"/>
  <c r="L72" i="8"/>
  <c r="M72" i="8" s="1"/>
  <c r="P73" i="8"/>
  <c r="Q73" i="8" s="1"/>
  <c r="L33" i="8"/>
  <c r="M33" i="8" s="1"/>
  <c r="P52" i="8"/>
  <c r="Q52" i="8" s="1"/>
  <c r="D65" i="8"/>
  <c r="E65" i="8" s="1"/>
  <c r="P18" i="8"/>
  <c r="Q18" i="8" s="1"/>
  <c r="P25" i="8"/>
  <c r="Q25" i="8" s="1"/>
  <c r="D37" i="8"/>
  <c r="E37" i="8" s="1"/>
  <c r="P46" i="8"/>
  <c r="Q46" i="8" s="1"/>
  <c r="D59" i="8"/>
  <c r="E59" i="8" s="1"/>
  <c r="L47" i="8"/>
  <c r="M47" i="8" s="1"/>
  <c r="H21" i="8"/>
  <c r="I21" i="8" s="1"/>
  <c r="D17" i="8"/>
  <c r="E17" i="8" s="1"/>
  <c r="H29" i="8"/>
  <c r="I29" i="8" s="1"/>
  <c r="H49" i="8"/>
  <c r="I49" i="8" s="1"/>
  <c r="L61" i="8"/>
  <c r="M61" i="8" s="1"/>
  <c r="L26" i="8"/>
  <c r="M26" i="8" s="1"/>
  <c r="L40" i="8"/>
  <c r="M40" i="8" s="1"/>
  <c r="H43" i="8"/>
  <c r="I43" i="8" s="1"/>
  <c r="L55" i="8"/>
  <c r="M55" i="8" s="1"/>
  <c r="P67" i="8"/>
  <c r="Q67" i="8" s="1"/>
  <c r="D69" i="8"/>
  <c r="E69" i="8" s="1"/>
  <c r="H70" i="8"/>
  <c r="I70" i="8" s="1"/>
  <c r="H74" i="8"/>
  <c r="I74" i="8" s="1"/>
  <c r="D16" i="8"/>
  <c r="E16" i="8" s="1"/>
  <c r="L20" i="8"/>
  <c r="M20" i="8" s="1"/>
  <c r="H28" i="8"/>
  <c r="I28" i="8" s="1"/>
  <c r="P32" i="8"/>
  <c r="Q32" i="8" s="1"/>
  <c r="P45" i="8"/>
  <c r="Q45" i="8" s="1"/>
  <c r="D58" i="8"/>
  <c r="E58" i="8" s="1"/>
  <c r="D73" i="8"/>
  <c r="E73" i="8" s="1"/>
  <c r="L74" i="8"/>
  <c r="M74" i="8" s="1"/>
  <c r="H15" i="8"/>
  <c r="I15" i="8" s="1"/>
  <c r="H23" i="8"/>
  <c r="I23" i="8" s="1"/>
  <c r="H44" i="8"/>
  <c r="I44" i="8" s="1"/>
  <c r="P39" i="8"/>
  <c r="Q39" i="8" s="1"/>
  <c r="D52" i="8"/>
  <c r="E52" i="8" s="1"/>
  <c r="H64" i="8"/>
  <c r="I64" i="8" s="1"/>
  <c r="P74" i="8"/>
  <c r="Q74" i="8" s="1"/>
  <c r="D8" i="8" l="1"/>
  <c r="D10" i="8" s="1"/>
  <c r="D11" i="8" s="1"/>
  <c r="E8" i="8"/>
  <c r="E10" i="8" s="1"/>
  <c r="E11" i="8" s="1"/>
  <c r="C8" i="8"/>
  <c r="C10" i="8" s="1"/>
  <c r="B8" i="8"/>
  <c r="B10" i="8" s="1"/>
  <c r="H19" i="6" l="1"/>
  <c r="H17" i="6"/>
  <c r="H13" i="6"/>
  <c r="H12" i="6"/>
  <c r="C10" i="6"/>
  <c r="R6" i="6" s="1"/>
  <c r="R7" i="6" s="1"/>
  <c r="C9" i="6"/>
  <c r="X5" i="6" s="1"/>
  <c r="AE5" i="6"/>
  <c r="AD5" i="6"/>
  <c r="AC5" i="6"/>
  <c r="AB5" i="6"/>
  <c r="AA5" i="6"/>
  <c r="T5" i="6"/>
  <c r="R5" i="6"/>
  <c r="Q5" i="6"/>
  <c r="P5" i="6"/>
  <c r="O5" i="6"/>
  <c r="N5" i="6"/>
  <c r="M5" i="6"/>
  <c r="G17" i="5"/>
  <c r="F17" i="5"/>
  <c r="E17" i="5"/>
  <c r="C17" i="5"/>
  <c r="B17" i="5"/>
  <c r="H17" i="5" s="1"/>
  <c r="F16" i="5"/>
  <c r="C16" i="5"/>
  <c r="B16" i="5"/>
  <c r="E16" i="5" s="1"/>
  <c r="K5" i="5" s="1"/>
  <c r="G15" i="5"/>
  <c r="F15" i="5"/>
  <c r="E15" i="5"/>
  <c r="C15" i="5"/>
  <c r="B15" i="5"/>
  <c r="H15" i="5" s="1"/>
  <c r="C12" i="5"/>
  <c r="C11" i="5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E16" i="4" s="1"/>
  <c r="F16" i="4" s="1"/>
  <c r="G16" i="4" s="1"/>
  <c r="B14" i="7" s="1"/>
  <c r="J16" i="4"/>
  <c r="I16" i="4"/>
  <c r="H16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E15" i="4" s="1"/>
  <c r="F15" i="4" s="1"/>
  <c r="G15" i="4" s="1"/>
  <c r="B13" i="7" s="1"/>
  <c r="AA12" i="4"/>
  <c r="Z12" i="4"/>
  <c r="Y12" i="4"/>
  <c r="X12" i="4"/>
  <c r="W12" i="4"/>
  <c r="V12" i="4"/>
  <c r="U12" i="4"/>
  <c r="T12" i="4"/>
  <c r="S12" i="4"/>
  <c r="E12" i="4" s="1"/>
  <c r="F12" i="4" s="1"/>
  <c r="G12" i="4" s="1"/>
  <c r="B12" i="7" s="1"/>
  <c r="R12" i="4"/>
  <c r="Q12" i="4"/>
  <c r="P12" i="4"/>
  <c r="O12" i="4"/>
  <c r="N12" i="4"/>
  <c r="M12" i="4"/>
  <c r="L12" i="4"/>
  <c r="K12" i="4"/>
  <c r="J12" i="4"/>
  <c r="I12" i="4"/>
  <c r="H12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E11" i="4" s="1"/>
  <c r="F11" i="4" s="1"/>
  <c r="G11" i="4" s="1"/>
  <c r="I11" i="4"/>
  <c r="H11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E8" i="4" s="1"/>
  <c r="F8" i="4" s="1"/>
  <c r="G8" i="4" s="1"/>
  <c r="B11" i="7" s="1"/>
  <c r="AA7" i="4"/>
  <c r="Z7" i="4"/>
  <c r="Y7" i="4"/>
  <c r="X7" i="4"/>
  <c r="W7" i="4"/>
  <c r="V7" i="4"/>
  <c r="U7" i="4"/>
  <c r="T7" i="4"/>
  <c r="S7" i="4"/>
  <c r="R7" i="4"/>
  <c r="Q7" i="4"/>
  <c r="E7" i="4" s="1"/>
  <c r="F7" i="4" s="1"/>
  <c r="G7" i="4" s="1"/>
  <c r="B10" i="7" s="1"/>
  <c r="P7" i="4"/>
  <c r="O7" i="4"/>
  <c r="N7" i="4"/>
  <c r="M7" i="4"/>
  <c r="L7" i="4"/>
  <c r="K7" i="4"/>
  <c r="J7" i="4"/>
  <c r="I7" i="4"/>
  <c r="H7" i="4"/>
  <c r="C16" i="3"/>
  <c r="C15" i="3"/>
  <c r="C14" i="3"/>
  <c r="B14" i="3"/>
  <c r="D14" i="3" s="1"/>
  <c r="E14" i="3" s="1"/>
  <c r="F14" i="3" s="1"/>
  <c r="C13" i="3"/>
  <c r="I11" i="3"/>
  <c r="I12" i="3" s="1"/>
  <c r="C9" i="3"/>
  <c r="B6" i="7" s="1"/>
  <c r="C8" i="3"/>
  <c r="B13" i="3" s="1"/>
  <c r="D13" i="3" s="1"/>
  <c r="E13" i="3" s="1"/>
  <c r="F13" i="3" s="1"/>
  <c r="H9" i="2"/>
  <c r="I9" i="2" s="1"/>
  <c r="F9" i="2"/>
  <c r="G9" i="2" s="1"/>
  <c r="H8" i="2"/>
  <c r="I8" i="2" s="1"/>
  <c r="F8" i="2"/>
  <c r="G8" i="2" s="1"/>
  <c r="H7" i="2"/>
  <c r="I7" i="2" s="1"/>
  <c r="F7" i="2"/>
  <c r="G7" i="2" s="1"/>
  <c r="H6" i="2"/>
  <c r="I6" i="2" s="1"/>
  <c r="J6" i="2" s="1"/>
  <c r="K6" i="2" s="1"/>
  <c r="F6" i="2"/>
  <c r="I12" i="6" l="1"/>
  <c r="I13" i="6"/>
  <c r="I17" i="6"/>
  <c r="I19" i="6"/>
  <c r="J7" i="2"/>
  <c r="K7" i="2" s="1"/>
  <c r="L7" i="2" s="1"/>
  <c r="J8" i="2"/>
  <c r="K8" i="2" s="1"/>
  <c r="L8" i="2" s="1"/>
  <c r="J9" i="2"/>
  <c r="K9" i="2" s="1"/>
  <c r="L9" i="2" s="1"/>
  <c r="K7" i="5"/>
  <c r="O6" i="2"/>
  <c r="B4" i="7" s="1"/>
  <c r="L6" i="2"/>
  <c r="O7" i="2"/>
  <c r="B5" i="7" s="1"/>
  <c r="G16" i="5"/>
  <c r="K6" i="5" s="1"/>
  <c r="K5" i="6"/>
  <c r="K6" i="6" s="1"/>
  <c r="K7" i="6" s="1"/>
  <c r="Y5" i="6"/>
  <c r="Y6" i="6" s="1"/>
  <c r="Y7" i="6" s="1"/>
  <c r="M6" i="6"/>
  <c r="M7" i="6" s="1"/>
  <c r="AA6" i="6"/>
  <c r="AA7" i="6" s="1"/>
  <c r="C12" i="6"/>
  <c r="F12" i="6" s="1"/>
  <c r="H16" i="6"/>
  <c r="I16" i="6" s="1"/>
  <c r="H16" i="5"/>
  <c r="L5" i="6"/>
  <c r="L6" i="6" s="1"/>
  <c r="L7" i="6" s="1"/>
  <c r="Z5" i="6"/>
  <c r="Z6" i="6" s="1"/>
  <c r="Z7" i="6" s="1"/>
  <c r="N6" i="6"/>
  <c r="N7" i="6" s="1"/>
  <c r="AB6" i="6"/>
  <c r="AB7" i="6" s="1"/>
  <c r="B16" i="3"/>
  <c r="D16" i="3" s="1"/>
  <c r="E16" i="3" s="1"/>
  <c r="F16" i="3" s="1"/>
  <c r="O6" i="6"/>
  <c r="O7" i="6" s="1"/>
  <c r="AC6" i="6"/>
  <c r="AC7" i="6" s="1"/>
  <c r="P6" i="6"/>
  <c r="P7" i="6" s="1"/>
  <c r="AD6" i="6"/>
  <c r="AD7" i="6" s="1"/>
  <c r="D15" i="5"/>
  <c r="D17" i="5"/>
  <c r="Q6" i="6"/>
  <c r="Q7" i="6" s="1"/>
  <c r="AE6" i="6"/>
  <c r="AE7" i="6" s="1"/>
  <c r="H18" i="6"/>
  <c r="I18" i="6" s="1"/>
  <c r="S5" i="6"/>
  <c r="S6" i="6" s="1"/>
  <c r="S7" i="6" s="1"/>
  <c r="G6" i="6"/>
  <c r="G7" i="6" s="1"/>
  <c r="H10" i="6"/>
  <c r="I10" i="6" s="1"/>
  <c r="H14" i="6"/>
  <c r="I14" i="6" s="1"/>
  <c r="H20" i="6"/>
  <c r="I20" i="6" s="1"/>
  <c r="I7" i="3"/>
  <c r="I8" i="3" s="1"/>
  <c r="B8" i="7" s="1"/>
  <c r="U5" i="6"/>
  <c r="U6" i="6" s="1"/>
  <c r="U7" i="6" s="1"/>
  <c r="I6" i="6"/>
  <c r="I7" i="6" s="1"/>
  <c r="W6" i="6"/>
  <c r="W7" i="6" s="1"/>
  <c r="C11" i="6"/>
  <c r="B15" i="3"/>
  <c r="D15" i="3" s="1"/>
  <c r="E15" i="3" s="1"/>
  <c r="F15" i="3" s="1"/>
  <c r="I4" i="3" s="1"/>
  <c r="I5" i="3" s="1"/>
  <c r="D16" i="5"/>
  <c r="H5" i="6"/>
  <c r="H6" i="6" s="1"/>
  <c r="H7" i="6" s="1"/>
  <c r="V5" i="6"/>
  <c r="X6" i="6"/>
  <c r="X7" i="6" s="1"/>
  <c r="H15" i="6"/>
  <c r="I15" i="6" s="1"/>
  <c r="T6" i="6"/>
  <c r="T7" i="6" s="1"/>
  <c r="V6" i="6"/>
  <c r="V7" i="6" s="1"/>
  <c r="I5" i="6"/>
  <c r="W5" i="6"/>
  <c r="H11" i="6"/>
  <c r="I11" i="6" s="1"/>
  <c r="J5" i="6"/>
  <c r="J6" i="6" s="1"/>
  <c r="J7" i="6" s="1"/>
  <c r="F6" i="6" l="1"/>
  <c r="B7" i="7"/>
  <c r="I9" i="3"/>
  <c r="I13" i="3"/>
  <c r="I14" i="3" s="1"/>
  <c r="K4" i="5"/>
  <c r="B15" i="7" s="1"/>
  <c r="B19" i="7"/>
  <c r="F7" i="6"/>
  <c r="K8" i="5"/>
  <c r="K9" i="5"/>
  <c r="B16" i="7" s="1"/>
  <c r="K11" i="5"/>
  <c r="K10" i="5"/>
  <c r="F4" i="6"/>
  <c r="F5" i="6" s="1"/>
  <c r="F14" i="6" l="1"/>
  <c r="F16" i="6" s="1"/>
  <c r="B18" i="7"/>
  <c r="F9" i="6"/>
  <c r="F11" i="6" s="1"/>
  <c r="B20" i="7" s="1"/>
  <c r="F13" i="6"/>
  <c r="F8" i="6"/>
  <c r="F10" i="6" s="1"/>
  <c r="B17" i="7"/>
  <c r="K12" i="5"/>
  <c r="I10" i="3"/>
  <c r="B9" i="7"/>
  <c r="B21" i="7" l="1"/>
  <c r="F1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I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Modified duration = Macaulay duration / (1 + yield). This is the duration measure that approximates % price changes.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1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Positive value here means the flat-yield shortcut exaggerates the size of the loss relative to full curve pricing.</t>
        </r>
      </text>
    </comment>
  </commentList>
</comments>
</file>

<file path=xl/sharedStrings.xml><?xml version="1.0" encoding="utf-8"?>
<sst xmlns="http://schemas.openxmlformats.org/spreadsheetml/2006/main" count="252" uniqueCount="201">
  <si>
    <t>Interest Rate Risk Problem Set — Fully Worked Excel File</t>
  </si>
  <si>
    <t>Workbook contents</t>
  </si>
  <si>
    <t>Part1</t>
  </si>
  <si>
    <t>Bond pricing and sensitivity to a +1% yield shock; includes ranking by interest-rate sensitivity.</t>
  </si>
  <si>
    <t>Part2</t>
  </si>
  <si>
    <t>Step-by-step duration build for a 4-year, 6% coupon bond at a 7% yield; includes actual vs estimated price changes.</t>
  </si>
  <si>
    <t>Part3</t>
  </si>
  <si>
    <t>Three duration comparison panels showing the effects of maturity, coupon, and yield.</t>
  </si>
  <si>
    <t>Part4</t>
  </si>
  <si>
    <t>Yield-curve pricing with spot rates and a steepening example; compares full-curve pricing with a flat-yield shortcut.</t>
  </si>
  <si>
    <t>Part5</t>
  </si>
  <si>
    <t>Convexity demonstration using a 25-year, 4% coupon bond; compares actual changes, duration-only estimates, and duration+convexity estimates.</t>
  </si>
  <si>
    <t>Solution_Summary</t>
  </si>
  <si>
    <t>Instructor-facing summary of the main answers linked directly from the calculations.</t>
  </si>
  <si>
    <t>Color/format legend</t>
  </si>
  <si>
    <t>Blue font</t>
  </si>
  <si>
    <t>Hardcoded instructor inputs students can change in class</t>
  </si>
  <si>
    <t>Black font</t>
  </si>
  <si>
    <t>Formulas and derived outputs</t>
  </si>
  <si>
    <t>Gray fill</t>
  </si>
  <si>
    <t>Labels or static headings</t>
  </si>
  <si>
    <t>Yellow fill</t>
  </si>
  <si>
    <t>Key assumptions or cells worth reviewing</t>
  </si>
  <si>
    <t>Currency / % formats</t>
  </si>
  <si>
    <t>Prices, durations, and changes are preformatted for readability</t>
  </si>
  <si>
    <t>Notes</t>
  </si>
  <si>
    <t>All calculations use annual coupon payments and a $1,000 par value unless otherwise noted.</t>
  </si>
  <si>
    <t>This workbook is fully worked: formulas are embedded throughout, and the Solution_Summary sheet links the main answers.</t>
  </si>
  <si>
    <t>Part 1 — Price–Yield Intuition and Bond Ranking</t>
  </si>
  <si>
    <t>Task</t>
  </si>
  <si>
    <t>Compute each bond's price, reprice after a +1.0% yield shock, and rank the bonds by interest-rate sensitivity.</t>
  </si>
  <si>
    <t>Yield shock</t>
  </si>
  <si>
    <t>Applied to each bond's current yield</t>
  </si>
  <si>
    <t>Bond</t>
  </si>
  <si>
    <t>Coupon Rate</t>
  </si>
  <si>
    <t>Maturity (yrs)</t>
  </si>
  <si>
    <t>Yield</t>
  </si>
  <si>
    <t>Par</t>
  </si>
  <si>
    <t>Coupon ($)</t>
  </si>
  <si>
    <t>Price @ current yield</t>
  </si>
  <si>
    <t>Yield + shock</t>
  </si>
  <si>
    <t>Price @ shocked yield</t>
  </si>
  <si>
    <t>% price change</t>
  </si>
  <si>
    <t>Abs. % change</t>
  </si>
  <si>
    <t>Sensitivity rank</t>
  </si>
  <si>
    <t>A</t>
  </si>
  <si>
    <t>Most sensitive bond</t>
  </si>
  <si>
    <t>B</t>
  </si>
  <si>
    <t>Least sensitive bond</t>
  </si>
  <si>
    <t>C</t>
  </si>
  <si>
    <t>Teaching note</t>
  </si>
  <si>
    <t>Longest maturity + lowest coupon + lowest starting yield gives the largest price response.</t>
  </si>
  <si>
    <t>D</t>
  </si>
  <si>
    <t>Part 2 — Step-by-Step Duration Calculation</t>
  </si>
  <si>
    <t>Inputs</t>
  </si>
  <si>
    <t>Summary answers</t>
  </si>
  <si>
    <t>Par value</t>
  </si>
  <si>
    <t>Macaulay duration</t>
  </si>
  <si>
    <t>Coupon rate</t>
  </si>
  <si>
    <t>Modified duration</t>
  </si>
  <si>
    <t>Shock size (Δy)</t>
  </si>
  <si>
    <t>Price if yield rises by Δy</t>
  </si>
  <si>
    <t>Actual % change (yield up)</t>
  </si>
  <si>
    <t>Price</t>
  </si>
  <si>
    <t>Duration estimate (yield up)</t>
  </si>
  <si>
    <t>Estimate error (up)</t>
  </si>
  <si>
    <t>Price if yield falls by Δy</t>
  </si>
  <si>
    <t>Period</t>
  </si>
  <si>
    <t>Cash flow</t>
  </si>
  <si>
    <t>Discount factor</t>
  </si>
  <si>
    <t>PV</t>
  </si>
  <si>
    <t>Weight</t>
  </si>
  <si>
    <t>t × Weight</t>
  </si>
  <si>
    <t>Actual % change (yield down)</t>
  </si>
  <si>
    <t>Duration estimate (yield down)</t>
  </si>
  <si>
    <t>Estimate error (down)</t>
  </si>
  <si>
    <t>Interpretation</t>
  </si>
  <si>
    <t>Modified duration is the approximate % price change for a 1.00 change in yield. For a +1.0% move, multiply modified duration by 0.01. The estimate is close but not exact because the price–yield relationship is curved.</t>
  </si>
  <si>
    <t>Part 3 — How Bond Characteristics Affect Duration</t>
  </si>
  <si>
    <t>Summary output columns</t>
  </si>
  <si>
    <t>Helper PV-by-period columns</t>
  </si>
  <si>
    <t>Scenario</t>
  </si>
  <si>
    <t>Maturity</t>
  </si>
  <si>
    <t>A. Maturity effect (coupon = 8%, yield = 6%)</t>
  </si>
  <si>
    <t>5-year, 8% coupon, 6% yield</t>
  </si>
  <si>
    <t>20-year, 8% coupon, 6% yield</t>
  </si>
  <si>
    <t>B. Coupon effect (maturity = 20 years, yield = 6%)</t>
  </si>
  <si>
    <t>20-year, 2% coupon, 6% yield</t>
  </si>
  <si>
    <t>C. Yield effect (20-year zero coupon bond)</t>
  </si>
  <si>
    <t>20-year zero, 8% yield</t>
  </si>
  <si>
    <t>20-year zero, 3% yield</t>
  </si>
  <si>
    <t>Instructor notes</t>
  </si>
  <si>
    <t>• Maturity effect:</t>
  </si>
  <si>
    <t>Longer maturity increases duration because more cash flow weight sits far in the future.</t>
  </si>
  <si>
    <t>• Coupon effect:</t>
  </si>
  <si>
    <t>Lower coupons increase duration because less value is received early and more comes from distant principal.</t>
  </si>
  <si>
    <t>• Yield effect:</t>
  </si>
  <si>
    <t>For a zero-coupon bond, Macaulay duration equals maturity, but modified duration increases when yield falls.</t>
  </si>
  <si>
    <t>Part 4 — Yield Curve Pricing vs. Flat-Yield Shortcut</t>
  </si>
  <si>
    <t>Bond and term-structure inputs</t>
  </si>
  <si>
    <t>Baseline price (curve)</t>
  </si>
  <si>
    <t>Annual coupon ($)</t>
  </si>
  <si>
    <t>Baseline price (flat 5.5%)</t>
  </si>
  <si>
    <t>Steepened price (curve)</t>
  </si>
  <si>
    <t>y1</t>
  </si>
  <si>
    <t>Steepened price (flat 6.5%)</t>
  </si>
  <si>
    <t>y2</t>
  </si>
  <si>
    <t>$ change using curve</t>
  </si>
  <si>
    <t>y3 (baseline)</t>
  </si>
  <si>
    <t>% change using curve</t>
  </si>
  <si>
    <t>y3 (steepened)</t>
  </si>
  <si>
    <t>$ change using flat shortcut</t>
  </si>
  <si>
    <t>Flat rate baseline</t>
  </si>
  <si>
    <t>% change using flat shortcut</t>
  </si>
  <si>
    <t>Flat rate steepened</t>
  </si>
  <si>
    <t>Extra loss implied by flat shortcut</t>
  </si>
  <si>
    <t>Spot rate (baseline)</t>
  </si>
  <si>
    <t>PV (curve)</t>
  </si>
  <si>
    <t>PV (flat)</t>
  </si>
  <si>
    <t>Spot rate (steepened)</t>
  </si>
  <si>
    <t>PV (curve, new)</t>
  </si>
  <si>
    <t>PV (flat, new)</t>
  </si>
  <si>
    <t>When only the 3-year rate rises, the flat-yield shortcut overstates the loss because it incorrectly reprices the year-1 and year-2 coupons at the higher rate.</t>
  </si>
  <si>
    <t>Part 5 - Convexity and Duration Approximation Error</t>
  </si>
  <si>
    <t>Price-Yield Grid</t>
  </si>
  <si>
    <t>1</t>
  </si>
  <si>
    <t>Approx. convexity</t>
  </si>
  <si>
    <t>Duration-only est. (up)</t>
  </si>
  <si>
    <t>Duration + convexity est. (up)</t>
  </si>
  <si>
    <t>% Chg vs Base</t>
  </si>
  <si>
    <t>Price at current yield</t>
  </si>
  <si>
    <t>Error of duration-only (up)</t>
  </si>
  <si>
    <t>Price at y + Δy</t>
  </si>
  <si>
    <t>Error of dur.+convexity (up)</t>
  </si>
  <si>
    <t>Price at y - Δy</t>
  </si>
  <si>
    <t>Duration-only est. (down)</t>
  </si>
  <si>
    <t>Duration + convexity est. (down)</t>
  </si>
  <si>
    <t>Error of duration-only (down)</t>
  </si>
  <si>
    <t>Error of dur.+convexity (down)</t>
  </si>
  <si>
    <t>Teaching note: Compare the actual price changes in F7 and F12 with the duration-only estimates in F8 and F13. The convexity-adjusted estimates in F9 and F14 should be closer for a 1% yield shock. The price-yield grid on the right can be graphed manually in Excel if desired.</t>
  </si>
  <si>
    <t>Helper rows:</t>
  </si>
  <si>
    <t>Row 5 = PV of each cash flow</t>
  </si>
  <si>
    <t>Row 6 = PV weight</t>
  </si>
  <si>
    <t>Row 7 = time x weight</t>
  </si>
  <si>
    <t>Instructor Solution Summary</t>
  </si>
  <si>
    <t>Part 1: most sensitive bond</t>
  </si>
  <si>
    <t>Bond D has the largest loss from a +1% yield shock.</t>
  </si>
  <si>
    <t>Part 1: least sensitive bond</t>
  </si>
  <si>
    <t>Bond A has the smallest loss because its maturity is short.</t>
  </si>
  <si>
    <t>Part 2: price</t>
  </si>
  <si>
    <t>Current bond price for the 4-year, 6% coupon bond at 7% yield.</t>
  </si>
  <si>
    <t>Part 2: modified duration</t>
  </si>
  <si>
    <t>Use this to approximate small % price changes.</t>
  </si>
  <si>
    <t>Part 2: actual % change if yield rises 1%</t>
  </si>
  <si>
    <t>Compare this with the duration estimate in the next row.</t>
  </si>
  <si>
    <t>Part 2: duration estimate if yield rises 1%</t>
  </si>
  <si>
    <t>The duration estimate is close, but not exact.</t>
  </si>
  <si>
    <t>Part 3: modified duration, 5-year 8% coupon</t>
  </si>
  <si>
    <t>Shorter maturity lowers duration.</t>
  </si>
  <si>
    <t>Part 3: modified duration, 20-year 8% coupon</t>
  </si>
  <si>
    <t>Longer maturity raises duration.</t>
  </si>
  <si>
    <t>Part 3: modified duration, 20-year 2% coupon</t>
  </si>
  <si>
    <t>Lower coupon raises duration.</t>
  </si>
  <si>
    <t>Part 3: modified duration, 20-year zero at 8%</t>
  </si>
  <si>
    <t>Higher yield lowers modified duration.</t>
  </si>
  <si>
    <t>Part 3: modified duration, 20-year zero at 3%</t>
  </si>
  <si>
    <t>Lower yield raises modified duration.</t>
  </si>
  <si>
    <t>Part 4: baseline curve price</t>
  </si>
  <si>
    <t>Uses maturity-specific spot rates for each cash flow.</t>
  </si>
  <si>
    <t>Part 4: steepened curve % change</t>
  </si>
  <si>
    <t>Only the 3-year rate rises here.</t>
  </si>
  <si>
    <t>Part 4: flat-shortcut % change</t>
  </si>
  <si>
    <t>The flat-yield shortcut overstates the loss.</t>
  </si>
  <si>
    <t>Part 5: modified duration</t>
  </si>
  <si>
    <t>Duration-only estimate is linear.</t>
  </si>
  <si>
    <t>Part 5: convexity</t>
  </si>
  <si>
    <t>Finite-difference convexity estimate.</t>
  </si>
  <si>
    <t>Part 5: actual % change if yield falls</t>
  </si>
  <si>
    <t>Actual gains are larger than duration-only predicts.</t>
  </si>
  <si>
    <t>Part 5: duration + convexity estimate if yield falls</t>
  </si>
  <si>
    <t>Adding convexity improves the approximation.</t>
  </si>
  <si>
    <t>Recommended discussion prompts</t>
  </si>
  <si>
    <t>1.</t>
  </si>
  <si>
    <t>Why does pushing value into distant cash flows raise duration?</t>
  </si>
  <si>
    <t>2.</t>
  </si>
  <si>
    <t>Why does the flat-yield shortcut misstate the loss when only the long end of the curve steepens?</t>
  </si>
  <si>
    <t>3.</t>
  </si>
  <si>
    <t>Why does convexity make large yield declines especially attractive for long-duration bonds?</t>
  </si>
  <si>
    <t>Bond A</t>
  </si>
  <si>
    <t>Bond B</t>
  </si>
  <si>
    <t>Bond C</t>
  </si>
  <si>
    <t>Bond D</t>
  </si>
  <si>
    <t>Par Value</t>
  </si>
  <si>
    <t>Duration</t>
  </si>
  <si>
    <t>Cash Flow</t>
  </si>
  <si>
    <t>Discounted Cash Flow</t>
  </si>
  <si>
    <t>Weighted Maturity</t>
  </si>
  <si>
    <t>Approx Change</t>
  </si>
  <si>
    <t>Approx Change (with convexity)</t>
  </si>
  <si>
    <t>True Change</t>
  </si>
  <si>
    <t>Price with +1%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</si>
</sst>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0.0%;[Red]\(0.0%\)"/>
    <numFmt numFmtId="165" formatCode="\$#,##0.00;[Red]\(\$#,##0.00\)"/>
    <numFmt numFmtId="166" formatCode="0.000"/>
    <numFmt numFmtId="167" formatCode="\$#,##0.00"/>
    <numFmt numFmtId="168" formatCode="0.0%"/>
    <numFmt numFmtId="169" formatCode="0.0000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3"/>
      <color rgb="FFFFFFFF"/>
      <name val="Calibri"/>
      <family val="2"/>
    </font>
    <font>
      <b/>
      <sz val="10"/>
      <name val="Calibri"/>
      <family val="2"/>
    </font>
    <font>
      <i/>
      <sz val="9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E2F0D9"/>
      </patternFill>
    </fill>
  </fills>
  <borders count="16">
    <border>
      <left/>
      <right/>
      <top/>
      <bottom/>
      <diagonal/>
    </border>
    <border>
      <left/>
      <right/>
      <top style="medium">
        <color rgb="FF1F4E7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2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0" fillId="0" borderId="1" xfId="0" applyBorder="1"/>
    <xf numFmtId="0" fontId="2" fillId="3" borderId="0" xfId="0" applyFont="1" applyFill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1" fontId="3" fillId="4" borderId="0" xfId="0" applyNumberFormat="1" applyFont="1" applyFill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167" fontId="0" fillId="4" borderId="0" xfId="0" applyNumberFormat="1" applyFill="1" applyAlignment="1">
      <alignment horizontal="right" vertical="center"/>
    </xf>
    <xf numFmtId="166" fontId="0" fillId="8" borderId="0" xfId="0" applyNumberFormat="1" applyFill="1" applyAlignment="1">
      <alignment horizontal="right" vertical="center"/>
    </xf>
    <xf numFmtId="0" fontId="8" fillId="7" borderId="0" xfId="0" applyFont="1" applyFill="1" applyAlignment="1">
      <alignment horizontal="right" vertical="center"/>
    </xf>
    <xf numFmtId="168" fontId="0" fillId="4" borderId="0" xfId="0" applyNumberFormat="1" applyFill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69" fontId="0" fillId="0" borderId="0" xfId="0" applyNumberFormat="1" applyAlignment="1">
      <alignment horizontal="right" vertical="center"/>
    </xf>
    <xf numFmtId="1" fontId="0" fillId="4" borderId="0" xfId="0" applyNumberFormat="1" applyFill="1" applyAlignment="1">
      <alignment horizontal="right" vertical="center"/>
    </xf>
    <xf numFmtId="10" fontId="0" fillId="8" borderId="0" xfId="0" applyNumberFormat="1" applyFill="1" applyAlignment="1">
      <alignment horizontal="right" vertical="center"/>
    </xf>
    <xf numFmtId="167" fontId="0" fillId="7" borderId="0" xfId="0" applyNumberFormat="1" applyFill="1" applyAlignment="1">
      <alignment horizontal="right" vertical="center"/>
    </xf>
    <xf numFmtId="167" fontId="0" fillId="8" borderId="0" xfId="0" applyNumberFormat="1" applyFill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vertical="top" wrapText="1"/>
    </xf>
    <xf numFmtId="167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0" fillId="0" borderId="0" xfId="0" applyAlignment="1">
      <alignment vertical="top" wrapText="1"/>
    </xf>
    <xf numFmtId="0" fontId="6" fillId="2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10" fillId="0" borderId="2" xfId="0" applyFont="1" applyBorder="1"/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/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1" fillId="0" borderId="13" xfId="0" applyFont="1" applyBorder="1"/>
    <xf numFmtId="8" fontId="11" fillId="0" borderId="14" xfId="0" applyNumberFormat="1" applyFont="1" applyBorder="1"/>
    <xf numFmtId="8" fontId="11" fillId="0" borderId="15" xfId="0" applyNumberFormat="1" applyFont="1" applyBorder="1"/>
    <xf numFmtId="0" fontId="11" fillId="0" borderId="0" xfId="0" applyFont="1" applyBorder="1"/>
    <xf numFmtId="8" fontId="11" fillId="0" borderId="0" xfId="0" applyNumberFormat="1" applyFont="1" applyBorder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Absolute % price change from +1% yield shock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Part1!$K$5</c:f>
              <c:strCache>
                <c:ptCount val="1"/>
                <c:pt idx="0">
                  <c:v>Abs. % change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Part1!$A$6:$A$9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Part1!$K$6:$K$9</c:f>
              <c:numCache>
                <c:formatCode>0.0%;[Red]\(0.0%\)</c:formatCode>
                <c:ptCount val="4"/>
                <c:pt idx="0">
                  <c:v>3.2426264562229856E-2</c:v>
                </c:pt>
                <c:pt idx="1">
                  <c:v>0.10244652067825388</c:v>
                </c:pt>
                <c:pt idx="2">
                  <c:v>0.11897977243340208</c:v>
                </c:pt>
                <c:pt idx="3">
                  <c:v>0.13355016351917537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B-634C-B928-490688F4E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Abs. % change</a:t>
                </a:r>
              </a:p>
            </c:rich>
          </c:tx>
          <c:overlay val="1"/>
        </c:title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Bond</a:t>
                </a:r>
              </a:p>
            </c:rich>
          </c:tx>
          <c:overlay val="1"/>
        </c:title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13</xdr:col>
      <xdr:colOff>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workbookViewId="0"/>
  </sheetViews>
  <sheetFormatPr baseColWidth="10" defaultColWidth="8.83203125" defaultRowHeight="15" x14ac:dyDescent="0.2"/>
  <cols>
    <col min="1" max="1" width="4" customWidth="1"/>
    <col min="2" max="2" width="22" customWidth="1"/>
    <col min="3" max="3" width="48" customWidth="1"/>
    <col min="4" max="4" width="22" customWidth="1"/>
  </cols>
  <sheetData>
    <row r="2" spans="2:4" ht="21" x14ac:dyDescent="0.2">
      <c r="B2" s="45" t="s">
        <v>0</v>
      </c>
      <c r="C2" s="46"/>
      <c r="D2" s="46"/>
    </row>
    <row r="4" spans="2:4" x14ac:dyDescent="0.2">
      <c r="B4" s="1" t="s">
        <v>1</v>
      </c>
    </row>
    <row r="5" spans="2:4" ht="32" x14ac:dyDescent="0.2">
      <c r="B5" s="1" t="s">
        <v>2</v>
      </c>
      <c r="C5" s="2" t="s">
        <v>3</v>
      </c>
    </row>
    <row r="6" spans="2:4" ht="32" x14ac:dyDescent="0.2">
      <c r="B6" s="1" t="s">
        <v>4</v>
      </c>
      <c r="C6" s="2" t="s">
        <v>5</v>
      </c>
    </row>
    <row r="7" spans="2:4" ht="32" x14ac:dyDescent="0.2">
      <c r="B7" s="1" t="s">
        <v>6</v>
      </c>
      <c r="C7" s="2" t="s">
        <v>7</v>
      </c>
    </row>
    <row r="8" spans="2:4" ht="32" x14ac:dyDescent="0.2">
      <c r="B8" s="1" t="s">
        <v>8</v>
      </c>
      <c r="C8" s="2" t="s">
        <v>9</v>
      </c>
    </row>
    <row r="9" spans="2:4" ht="48" x14ac:dyDescent="0.2">
      <c r="B9" s="1" t="s">
        <v>10</v>
      </c>
      <c r="C9" s="2" t="s">
        <v>11</v>
      </c>
    </row>
    <row r="10" spans="2:4" ht="32" x14ac:dyDescent="0.2">
      <c r="B10" s="1" t="s">
        <v>12</v>
      </c>
      <c r="C10" s="2" t="s">
        <v>13</v>
      </c>
    </row>
    <row r="12" spans="2:4" x14ac:dyDescent="0.2">
      <c r="B12" s="1" t="s">
        <v>14</v>
      </c>
    </row>
    <row r="13" spans="2:4" x14ac:dyDescent="0.2">
      <c r="B13" s="3" t="s">
        <v>15</v>
      </c>
      <c r="C13" s="4" t="s">
        <v>16</v>
      </c>
    </row>
    <row r="14" spans="2:4" x14ac:dyDescent="0.2">
      <c r="B14" s="5" t="s">
        <v>17</v>
      </c>
      <c r="C14" s="4" t="s">
        <v>18</v>
      </c>
    </row>
    <row r="15" spans="2:4" x14ac:dyDescent="0.2">
      <c r="B15" s="6" t="s">
        <v>19</v>
      </c>
      <c r="C15" s="4" t="s">
        <v>20</v>
      </c>
    </row>
    <row r="16" spans="2:4" x14ac:dyDescent="0.2">
      <c r="B16" s="7" t="s">
        <v>21</v>
      </c>
      <c r="C16" s="4" t="s">
        <v>22</v>
      </c>
    </row>
    <row r="17" spans="2:3" x14ac:dyDescent="0.2">
      <c r="B17" s="4" t="s">
        <v>23</v>
      </c>
      <c r="C17" s="4" t="s">
        <v>24</v>
      </c>
    </row>
    <row r="20" spans="2:3" ht="32" x14ac:dyDescent="0.2">
      <c r="B20" s="1" t="s">
        <v>25</v>
      </c>
      <c r="C20" s="2" t="s">
        <v>26</v>
      </c>
    </row>
    <row r="22" spans="2:3" ht="48" x14ac:dyDescent="0.2">
      <c r="C22" s="2" t="s">
        <v>27</v>
      </c>
    </row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showGridLines="0" topLeftCell="A3" workbookViewId="0">
      <selection activeCell="G6" sqref="G6"/>
    </sheetView>
  </sheetViews>
  <sheetFormatPr baseColWidth="10" defaultColWidth="8.83203125" defaultRowHeight="15" x14ac:dyDescent="0.2"/>
  <cols>
    <col min="1" max="1" width="10" customWidth="1"/>
    <col min="2" max="2" width="13" customWidth="1"/>
    <col min="3" max="3" width="14" customWidth="1"/>
    <col min="4" max="6" width="12" customWidth="1"/>
    <col min="7" max="7" width="16" customWidth="1"/>
    <col min="8" max="8" width="14" customWidth="1"/>
    <col min="9" max="9" width="18" customWidth="1"/>
    <col min="10" max="10" width="15" customWidth="1"/>
    <col min="11" max="12" width="14" customWidth="1"/>
    <col min="14" max="14" width="14" customWidth="1"/>
    <col min="15" max="15" width="48" customWidth="1"/>
  </cols>
  <sheetData>
    <row r="1" spans="1:15" ht="21" x14ac:dyDescent="0.2">
      <c r="A1" s="45" t="s">
        <v>28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3" spans="1:15" ht="128" x14ac:dyDescent="0.2">
      <c r="A3" s="4" t="s">
        <v>29</v>
      </c>
      <c r="B3" s="8" t="s">
        <v>30</v>
      </c>
      <c r="N3" s="4" t="s">
        <v>31</v>
      </c>
      <c r="O3" s="4" t="s">
        <v>32</v>
      </c>
    </row>
    <row r="4" spans="1:15" x14ac:dyDescent="0.2">
      <c r="N4" s="9">
        <v>0.01</v>
      </c>
    </row>
    <row r="5" spans="1:15" x14ac:dyDescent="0.2">
      <c r="A5" s="10" t="s">
        <v>33</v>
      </c>
      <c r="B5" s="10" t="s">
        <v>34</v>
      </c>
      <c r="C5" s="10" t="s">
        <v>35</v>
      </c>
      <c r="D5" s="10" t="s">
        <v>36</v>
      </c>
      <c r="E5" s="10" t="s">
        <v>37</v>
      </c>
      <c r="F5" s="10" t="s">
        <v>38</v>
      </c>
      <c r="G5" s="10" t="s">
        <v>39</v>
      </c>
      <c r="H5" s="10" t="s">
        <v>40</v>
      </c>
      <c r="I5" s="10" t="s">
        <v>41</v>
      </c>
      <c r="J5" s="10" t="s">
        <v>42</v>
      </c>
      <c r="K5" s="10" t="s">
        <v>43</v>
      </c>
      <c r="L5" s="10" t="s">
        <v>44</v>
      </c>
    </row>
    <row r="6" spans="1:15" ht="16" x14ac:dyDescent="0.2">
      <c r="A6" s="3" t="s">
        <v>45</v>
      </c>
      <c r="B6" s="11">
        <v>0.09</v>
      </c>
      <c r="C6" s="3">
        <v>4</v>
      </c>
      <c r="D6" s="11">
        <v>7.0000000000000007E-2</v>
      </c>
      <c r="E6" s="12">
        <v>1000</v>
      </c>
      <c r="F6" s="13">
        <f>B6*E6</f>
        <v>90</v>
      </c>
      <c r="G6" s="13">
        <f>-PV(D6,C6,F6,E6)</f>
        <v>1067.7442251292784</v>
      </c>
      <c r="H6" s="14">
        <f>D6+$N$4</f>
        <v>0.08</v>
      </c>
      <c r="I6" s="13">
        <f>-PV(H6,C6,F6,E6)</f>
        <v>1033.1212684004433</v>
      </c>
      <c r="J6" s="14">
        <f>I6/G6-1</f>
        <v>-3.2426264562229856E-2</v>
      </c>
      <c r="K6" s="14">
        <f>ABS(J6)</f>
        <v>3.2426264562229856E-2</v>
      </c>
      <c r="L6" s="15">
        <f>RANK(K6,$K$6:$K$9,0)</f>
        <v>4</v>
      </c>
      <c r="N6" s="1" t="s">
        <v>46</v>
      </c>
      <c r="O6" s="2" t="str">
        <f>INDEX($A$6:$A$9,MATCH(MAX($K$6:$K$9),$K$6:$K$9,0))</f>
        <v>D</v>
      </c>
    </row>
    <row r="7" spans="1:15" ht="16" x14ac:dyDescent="0.2">
      <c r="A7" s="3" t="s">
        <v>47</v>
      </c>
      <c r="B7" s="11">
        <v>0.09</v>
      </c>
      <c r="C7" s="3">
        <v>25</v>
      </c>
      <c r="D7" s="11">
        <v>7.0000000000000007E-2</v>
      </c>
      <c r="E7" s="12">
        <v>1000</v>
      </c>
      <c r="F7" s="13">
        <f>B7*E7</f>
        <v>90</v>
      </c>
      <c r="G7" s="13">
        <f>-PV(D7,C7,F7,E7)</f>
        <v>1233.0716635650742</v>
      </c>
      <c r="H7" s="14">
        <f>D7+$N$4</f>
        <v>0.08</v>
      </c>
      <c r="I7" s="13">
        <f>-PV(H7,C7,F7,E7)</f>
        <v>1106.7477618858859</v>
      </c>
      <c r="J7" s="14">
        <f>I7/G7-1</f>
        <v>-0.10244652067825388</v>
      </c>
      <c r="K7" s="14">
        <f>ABS(J7)</f>
        <v>0.10244652067825388</v>
      </c>
      <c r="L7" s="15">
        <f>RANK(K7,$K$6:$K$9,0)</f>
        <v>3</v>
      </c>
      <c r="N7" s="1" t="s">
        <v>48</v>
      </c>
      <c r="O7" s="2" t="str">
        <f>INDEX($A$6:$A$9,MATCH(MIN($K$6:$K$9),$K$6:$K$9,0))</f>
        <v>A</v>
      </c>
    </row>
    <row r="8" spans="1:15" ht="36" customHeight="1" x14ac:dyDescent="0.2">
      <c r="A8" s="3" t="s">
        <v>49</v>
      </c>
      <c r="B8" s="11">
        <v>0.04</v>
      </c>
      <c r="C8" s="3">
        <v>25</v>
      </c>
      <c r="D8" s="11">
        <v>7.0000000000000007E-2</v>
      </c>
      <c r="E8" s="12">
        <v>1000</v>
      </c>
      <c r="F8" s="13">
        <f>B8*E8</f>
        <v>40</v>
      </c>
      <c r="G8" s="13">
        <f>-PV(D8,C8,F8,E8)</f>
        <v>650.39250465238831</v>
      </c>
      <c r="H8" s="14">
        <f>D8+$N$4</f>
        <v>0.08</v>
      </c>
      <c r="I8" s="13">
        <f>-PV(H8,C8,F8,E8)</f>
        <v>573.00895245645677</v>
      </c>
      <c r="J8" s="14">
        <f>I8/G8-1</f>
        <v>-0.11897977243340208</v>
      </c>
      <c r="K8" s="14">
        <f>ABS(J8)</f>
        <v>0.11897977243340208</v>
      </c>
      <c r="L8" s="15">
        <f>RANK(K8,$K$6:$K$9,0)</f>
        <v>2</v>
      </c>
      <c r="N8" s="1" t="s">
        <v>50</v>
      </c>
      <c r="O8" s="2" t="s">
        <v>51</v>
      </c>
    </row>
    <row r="9" spans="1:15" x14ac:dyDescent="0.2">
      <c r="A9" s="3" t="s">
        <v>52</v>
      </c>
      <c r="B9" s="11">
        <v>0.04</v>
      </c>
      <c r="C9" s="3">
        <v>25</v>
      </c>
      <c r="D9" s="11">
        <v>0.05</v>
      </c>
      <c r="E9" s="12">
        <v>1000</v>
      </c>
      <c r="F9" s="13">
        <f>B9*E9</f>
        <v>40</v>
      </c>
      <c r="G9" s="13">
        <f>-PV(D9,C9,F9,E9)</f>
        <v>859.06055433955237</v>
      </c>
      <c r="H9" s="14">
        <f>D9+$N$4</f>
        <v>6.0000000000000005E-2</v>
      </c>
      <c r="I9" s="13">
        <f>-PV(H9,C9,F9,E9)</f>
        <v>744.33287683463175</v>
      </c>
      <c r="J9" s="14">
        <f>I9/G9-1</f>
        <v>-0.13355016351917537</v>
      </c>
      <c r="K9" s="14">
        <f>ABS(J9)</f>
        <v>0.13355016351917537</v>
      </c>
      <c r="L9" s="15">
        <f>RANK(K9,$K$6:$K$9,0)</f>
        <v>1</v>
      </c>
    </row>
    <row r="10" spans="1:15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</sheetData>
  <mergeCells count="1">
    <mergeCell ref="A1:O1"/>
  </mergeCells>
  <conditionalFormatting sqref="J6:J9">
    <cfRule type="dataBar" priority="1">
      <dataBar>
        <cfvo type="num" val="0"/>
        <cfvo type="num" val="0.15"/>
        <color rgb="FF5B9BD5"/>
      </dataBar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ACD5-C81B-844D-ABE0-62870210C55A}">
  <dimension ref="A1:Q74"/>
  <sheetViews>
    <sheetView tabSelected="1" workbookViewId="0">
      <selection activeCell="G8" sqref="G8"/>
    </sheetView>
  </sheetViews>
  <sheetFormatPr baseColWidth="10" defaultRowHeight="15" x14ac:dyDescent="0.2"/>
  <cols>
    <col min="1" max="1" width="25.33203125" bestFit="1" customWidth="1"/>
    <col min="2" max="2" width="13.1640625" bestFit="1" customWidth="1"/>
    <col min="3" max="3" width="19.83203125" bestFit="1" customWidth="1"/>
    <col min="4" max="4" width="13.1640625" bestFit="1" customWidth="1"/>
    <col min="5" max="5" width="16.5" bestFit="1" customWidth="1"/>
    <col min="6" max="6" width="9.6640625" bestFit="1" customWidth="1"/>
    <col min="7" max="7" width="19.6640625" bestFit="1" customWidth="1"/>
    <col min="8" max="8" width="12.1640625" bestFit="1" customWidth="1"/>
    <col min="9" max="9" width="16.33203125" bestFit="1" customWidth="1"/>
    <col min="10" max="10" width="9.6640625" bestFit="1" customWidth="1"/>
    <col min="11" max="11" width="19.6640625" bestFit="1" customWidth="1"/>
    <col min="12" max="12" width="12.1640625" bestFit="1" customWidth="1"/>
    <col min="13" max="13" width="16.33203125" bestFit="1" customWidth="1"/>
  </cols>
  <sheetData>
    <row r="1" spans="1:17" x14ac:dyDescent="0.2">
      <c r="B1" t="s">
        <v>188</v>
      </c>
      <c r="C1" t="s">
        <v>189</v>
      </c>
      <c r="D1" t="s">
        <v>190</v>
      </c>
      <c r="E1" t="s">
        <v>191</v>
      </c>
    </row>
    <row r="2" spans="1:17" x14ac:dyDescent="0.2">
      <c r="A2" t="s">
        <v>82</v>
      </c>
      <c r="B2">
        <v>4</v>
      </c>
      <c r="C2">
        <v>25</v>
      </c>
      <c r="D2">
        <v>25</v>
      </c>
      <c r="E2">
        <v>25</v>
      </c>
    </row>
    <row r="3" spans="1:17" x14ac:dyDescent="0.2">
      <c r="A3" t="s">
        <v>34</v>
      </c>
      <c r="B3">
        <v>0.09</v>
      </c>
      <c r="C3">
        <v>0.09</v>
      </c>
      <c r="D3">
        <v>0.04</v>
      </c>
      <c r="E3">
        <v>0.04</v>
      </c>
    </row>
    <row r="4" spans="1:17" x14ac:dyDescent="0.2">
      <c r="A4" t="s">
        <v>36</v>
      </c>
      <c r="B4">
        <v>7.0000000000000007E-2</v>
      </c>
      <c r="C4">
        <v>7.0000000000000007E-2</v>
      </c>
      <c r="D4">
        <v>7.0000000000000007E-2</v>
      </c>
      <c r="E4">
        <v>0.05</v>
      </c>
    </row>
    <row r="5" spans="1:17" ht="16" thickBot="1" x14ac:dyDescent="0.25">
      <c r="A5" t="s">
        <v>192</v>
      </c>
      <c r="B5">
        <v>1000</v>
      </c>
      <c r="C5">
        <v>1000</v>
      </c>
      <c r="D5">
        <v>1000</v>
      </c>
      <c r="E5">
        <v>1000</v>
      </c>
    </row>
    <row r="6" spans="1:17" ht="16" thickBot="1" x14ac:dyDescent="0.25">
      <c r="A6" s="69" t="s">
        <v>63</v>
      </c>
      <c r="B6" s="70">
        <f>-PV(B4/2,B2*2,B3/2*B5,B5)</f>
        <v>1068.7395553667857</v>
      </c>
      <c r="C6" s="70">
        <f t="shared" ref="C6:E6" si="0">-PV(C4/2,C2*2,C3/2*C5,C5)</f>
        <v>1234.5561787062124</v>
      </c>
      <c r="D6" s="70">
        <f t="shared" si="0"/>
        <v>648.1657319406811</v>
      </c>
      <c r="E6" s="71">
        <f t="shared" si="0"/>
        <v>858.18844159728815</v>
      </c>
    </row>
    <row r="7" spans="1:17" x14ac:dyDescent="0.2">
      <c r="A7" s="72" t="s">
        <v>200</v>
      </c>
      <c r="B7" s="73">
        <f>-PV((B4+0.01)/2,B2*2,B3/2*B5,B5)</f>
        <v>1033.6637243747521</v>
      </c>
      <c r="C7" s="73">
        <f t="shared" ref="C7:E7" si="1">-PV((C4+0.01)/2,C2*2,C3/2*C5,C5)</f>
        <v>1107.4109230833451</v>
      </c>
      <c r="D7" s="73">
        <f t="shared" si="1"/>
        <v>570.35630766661973</v>
      </c>
      <c r="E7" s="73">
        <f t="shared" si="1"/>
        <v>742.70235992991798</v>
      </c>
    </row>
    <row r="8" spans="1:17" x14ac:dyDescent="0.2">
      <c r="A8" t="s">
        <v>193</v>
      </c>
      <c r="B8">
        <f>SUM(E15:E74)/2/(1+B4/2)</f>
        <v>3.3501349472416848</v>
      </c>
      <c r="C8">
        <f>SUM(I15:I74)/2/(1+C4/2)</f>
        <v>11.212862289455115</v>
      </c>
      <c r="D8">
        <f>SUM(M15:M74)/2/(1+D4/2)</f>
        <v>13.199031182994615</v>
      </c>
      <c r="E8">
        <f>SUM(Q15:Q74)/2/(1+E4/2)</f>
        <v>14.873370854681497</v>
      </c>
    </row>
    <row r="9" spans="1:17" x14ac:dyDescent="0.2">
      <c r="A9" t="s">
        <v>199</v>
      </c>
      <c r="B9" s="74">
        <f>B7/B6-1</f>
        <v>-3.2819811726717441E-2</v>
      </c>
      <c r="C9" s="74">
        <f t="shared" ref="C9:E9" si="2">C7/C6-1</f>
        <v>-0.10298863495714938</v>
      </c>
      <c r="D9" s="74">
        <f t="shared" si="2"/>
        <v>-0.12004556927298704</v>
      </c>
      <c r="E9" s="74">
        <f t="shared" si="2"/>
        <v>-0.13456960740746371</v>
      </c>
    </row>
    <row r="10" spans="1:17" x14ac:dyDescent="0.2">
      <c r="A10" t="s">
        <v>197</v>
      </c>
      <c r="B10" s="74">
        <f>-B8*0.01</f>
        <v>-3.3501349472416848E-2</v>
      </c>
      <c r="C10" s="74">
        <f t="shared" ref="C10:E10" si="3">-C8*0.01</f>
        <v>-0.11212862289455115</v>
      </c>
      <c r="D10" s="74">
        <f t="shared" si="3"/>
        <v>-0.13199031182994614</v>
      </c>
      <c r="E10" s="74">
        <f t="shared" si="3"/>
        <v>-0.14873370854681497</v>
      </c>
    </row>
    <row r="11" spans="1:17" x14ac:dyDescent="0.2">
      <c r="A11" t="s">
        <v>198</v>
      </c>
      <c r="D11" s="74">
        <f>D10+1/2*254*0.01^2</f>
        <v>-0.11929031182994614</v>
      </c>
      <c r="E11" s="74">
        <f>E10+1/2*305*0.01^2</f>
        <v>-0.13348370854681496</v>
      </c>
    </row>
    <row r="12" spans="1:17" ht="16" thickBot="1" x14ac:dyDescent="0.25"/>
    <row r="13" spans="1:17" s="57" customFormat="1" ht="16" x14ac:dyDescent="0.2">
      <c r="A13" s="53"/>
      <c r="B13" s="54" t="s">
        <v>188</v>
      </c>
      <c r="C13" s="55"/>
      <c r="D13" s="55"/>
      <c r="E13" s="56"/>
      <c r="F13" s="54" t="s">
        <v>189</v>
      </c>
      <c r="G13" s="55"/>
      <c r="H13" s="55"/>
      <c r="I13" s="56"/>
      <c r="J13" s="54" t="s">
        <v>190</v>
      </c>
      <c r="K13" s="55"/>
      <c r="L13" s="55"/>
      <c r="M13" s="56"/>
      <c r="N13" s="54" t="s">
        <v>191</v>
      </c>
      <c r="O13" s="55"/>
      <c r="P13" s="55"/>
      <c r="Q13" s="56"/>
    </row>
    <row r="14" spans="1:17" ht="16" x14ac:dyDescent="0.2">
      <c r="A14" s="58" t="s">
        <v>67</v>
      </c>
      <c r="B14" s="59" t="s">
        <v>194</v>
      </c>
      <c r="C14" s="60" t="s">
        <v>195</v>
      </c>
      <c r="D14" s="60" t="s">
        <v>71</v>
      </c>
      <c r="E14" s="61" t="s">
        <v>196</v>
      </c>
      <c r="F14" s="59" t="s">
        <v>194</v>
      </c>
      <c r="G14" s="60" t="s">
        <v>195</v>
      </c>
      <c r="H14" s="60" t="s">
        <v>71</v>
      </c>
      <c r="I14" s="61" t="s">
        <v>196</v>
      </c>
      <c r="J14" s="59" t="s">
        <v>194</v>
      </c>
      <c r="K14" s="60" t="s">
        <v>195</v>
      </c>
      <c r="L14" s="60" t="s">
        <v>71</v>
      </c>
      <c r="M14" s="61" t="s">
        <v>196</v>
      </c>
      <c r="N14" s="59" t="s">
        <v>194</v>
      </c>
      <c r="O14" s="60" t="s">
        <v>195</v>
      </c>
      <c r="P14" s="60" t="s">
        <v>71</v>
      </c>
      <c r="Q14" s="61" t="s">
        <v>196</v>
      </c>
    </row>
    <row r="15" spans="1:17" x14ac:dyDescent="0.2">
      <c r="A15" s="62">
        <v>1</v>
      </c>
      <c r="B15" s="63">
        <f>IF(A15=2*$B$2, $B$5 + $B$3/2*$B$5, IF(A15&gt;2*$B$2,0, $B$3/2*$B$5))</f>
        <v>45</v>
      </c>
      <c r="C15">
        <f>B15/(1+$B$4/2)^A15</f>
        <v>43.478260869565219</v>
      </c>
      <c r="D15">
        <f>C15/SUM($C$15:$C$74)</f>
        <v>4.0681811252549452E-2</v>
      </c>
      <c r="E15" s="64">
        <f>D15*A15</f>
        <v>4.0681811252549452E-2</v>
      </c>
      <c r="F15" s="63">
        <f>IF(A15=2*$C$2, $C$5 + $C$3/2*$C$5, IF(A15&gt;2*$C$2,0, $C$3/2*$C$5))</f>
        <v>45</v>
      </c>
      <c r="G15">
        <f>F15/(1+$C$4/2)^$A15</f>
        <v>43.478260869565219</v>
      </c>
      <c r="H15">
        <f>G15/SUM($G$15:$G$74)</f>
        <v>3.5217725705386185E-2</v>
      </c>
      <c r="I15" s="64">
        <f>H15*A15</f>
        <v>3.5217725705386185E-2</v>
      </c>
      <c r="J15" s="63">
        <f>IF(A15=2*$D$2, $D$5 + $D$3/2*$D$5, IF(A15&gt;2*$D$2,0, $D$3/2*$D$5))</f>
        <v>20</v>
      </c>
      <c r="K15">
        <f>J15/(1+$D$4/2)^A15</f>
        <v>19.323671497584542</v>
      </c>
      <c r="L15">
        <f>K15/SUM($K$15:$K$74)</f>
        <v>2.9812855794963518E-2</v>
      </c>
      <c r="M15" s="64">
        <f>L15*A15</f>
        <v>2.9812855794963518E-2</v>
      </c>
      <c r="N15" s="63">
        <f>IF(A15=2*$E$2, $E$5 + $E$3/2*$E$5, IF(A15&gt;2*$E$2,0, $E$3/2*$E$5))</f>
        <v>20</v>
      </c>
      <c r="O15">
        <f>N15/(1+$E$4/2)^A15</f>
        <v>19.512195121951223</v>
      </c>
      <c r="P15">
        <f>O15/SUM($O$15:$O$74)</f>
        <v>2.2736492565239467E-2</v>
      </c>
      <c r="Q15" s="64">
        <f>P15*A15</f>
        <v>2.2736492565239467E-2</v>
      </c>
    </row>
    <row r="16" spans="1:17" x14ac:dyDescent="0.2">
      <c r="A16" s="62">
        <v>2</v>
      </c>
      <c r="B16" s="63">
        <f t="shared" ref="B16:B74" si="4">IF(A16=2*$B$2, $B$5 + $B$3/2*$B$5, IF(A16&gt;2*$B$2,0, $B$3/2*$B$5))</f>
        <v>45</v>
      </c>
      <c r="C16">
        <f t="shared" ref="C16:C74" si="5">B16/(1+$B$4/2)^A16</f>
        <v>42.007981516488137</v>
      </c>
      <c r="D16">
        <f t="shared" ref="D16:D74" si="6">C16/SUM($C$15:$C$74)</f>
        <v>3.9306097828550199E-2</v>
      </c>
      <c r="E16" s="64">
        <f t="shared" ref="E16:E74" si="7">D16*A16</f>
        <v>7.8612195657100398E-2</v>
      </c>
      <c r="F16" s="63">
        <f t="shared" ref="F16:F74" si="8">IF(A16=2*$C$2, $C$5 + $C$3/2*$C$5, IF(A16&gt;2*$C$2,0, $C$3/2*$C$5))</f>
        <v>45</v>
      </c>
      <c r="G16">
        <f t="shared" ref="G16:G74" si="9">F16/(1+$C$4/2)^$A16</f>
        <v>42.007981516488137</v>
      </c>
      <c r="H16">
        <f t="shared" ref="H16:H74" si="10">G16/SUM($G$15:$G$74)</f>
        <v>3.4026788121146075E-2</v>
      </c>
      <c r="I16" s="64">
        <f t="shared" ref="I16:I74" si="11">H16*A16</f>
        <v>6.8053576242292149E-2</v>
      </c>
      <c r="J16" s="63">
        <f t="shared" ref="J16:J74" si="12">IF(A16=2*$D$2, $D$5 + $D$3/2*$D$5, IF(A16&gt;2*$D$2,0, $D$3/2*$D$5))</f>
        <v>20</v>
      </c>
      <c r="K16">
        <f t="shared" ref="K16:K74" si="13">J16/(1+$D$4/2)^A16</f>
        <v>18.67021400732806</v>
      </c>
      <c r="L16">
        <f t="shared" ref="L16:L74" si="14">K16/SUM($K$15:$K$74)</f>
        <v>2.8804691589336733E-2</v>
      </c>
      <c r="M16" s="64">
        <f t="shared" ref="M16:M74" si="15">L16*A16</f>
        <v>5.7609383178673465E-2</v>
      </c>
      <c r="N16" s="63">
        <f t="shared" ref="N16:N74" si="16">IF(A16=2*$E$2, $E$5 + $E$3/2*$E$5, IF(A16&gt;2*$E$2,0, $E$3/2*$E$5))</f>
        <v>20</v>
      </c>
      <c r="O16">
        <f t="shared" ref="O16:O74" si="17">N16/(1+$E$4/2)^A16</f>
        <v>19.03628792385485</v>
      </c>
      <c r="P16">
        <f t="shared" ref="P16:P74" si="18">O16/SUM($O$15:$O$74)</f>
        <v>2.2181943966087282E-2</v>
      </c>
      <c r="Q16" s="64">
        <f t="shared" ref="Q16:Q74" si="19">P16*A16</f>
        <v>4.4363887932174564E-2</v>
      </c>
    </row>
    <row r="17" spans="1:17" x14ac:dyDescent="0.2">
      <c r="A17" s="62">
        <v>3</v>
      </c>
      <c r="B17" s="63">
        <f t="shared" si="4"/>
        <v>45</v>
      </c>
      <c r="C17">
        <f t="shared" si="5"/>
        <v>40.587421755061008</v>
      </c>
      <c r="D17">
        <f t="shared" si="6"/>
        <v>3.7976906114541263E-2</v>
      </c>
      <c r="E17" s="64">
        <f t="shared" si="7"/>
        <v>0.11393071834362378</v>
      </c>
      <c r="F17" s="63">
        <f t="shared" si="8"/>
        <v>45</v>
      </c>
      <c r="G17">
        <f t="shared" si="9"/>
        <v>40.587421755061008</v>
      </c>
      <c r="H17">
        <f t="shared" si="10"/>
        <v>3.2876123788546943E-2</v>
      </c>
      <c r="I17" s="64">
        <f t="shared" si="11"/>
        <v>9.862837136564083E-2</v>
      </c>
      <c r="J17" s="63">
        <f t="shared" si="12"/>
        <v>20</v>
      </c>
      <c r="K17">
        <f t="shared" si="13"/>
        <v>18.038854113360447</v>
      </c>
      <c r="L17">
        <f t="shared" si="14"/>
        <v>2.7830619893078973E-2</v>
      </c>
      <c r="M17" s="64">
        <f t="shared" si="15"/>
        <v>8.3491859679236918E-2</v>
      </c>
      <c r="N17" s="63">
        <f t="shared" si="16"/>
        <v>20</v>
      </c>
      <c r="O17">
        <f t="shared" si="17"/>
        <v>18.571988218394974</v>
      </c>
      <c r="P17">
        <f t="shared" si="18"/>
        <v>2.1640920942524178E-2</v>
      </c>
      <c r="Q17" s="64">
        <f t="shared" si="19"/>
        <v>6.4922762827572533E-2</v>
      </c>
    </row>
    <row r="18" spans="1:17" x14ac:dyDescent="0.2">
      <c r="A18" s="62">
        <v>4</v>
      </c>
      <c r="B18" s="63">
        <f t="shared" si="4"/>
        <v>45</v>
      </c>
      <c r="C18">
        <f t="shared" si="5"/>
        <v>39.214900246435761</v>
      </c>
      <c r="D18">
        <f t="shared" si="6"/>
        <v>3.6692662912600253E-2</v>
      </c>
      <c r="E18" s="64">
        <f t="shared" si="7"/>
        <v>0.14677065165040101</v>
      </c>
      <c r="F18" s="63">
        <f t="shared" si="8"/>
        <v>45</v>
      </c>
      <c r="G18">
        <f t="shared" si="9"/>
        <v>39.214900246435761</v>
      </c>
      <c r="H18">
        <f t="shared" si="10"/>
        <v>3.1764370810190283E-2</v>
      </c>
      <c r="I18" s="64">
        <f t="shared" si="11"/>
        <v>0.12705748324076113</v>
      </c>
      <c r="J18" s="63">
        <f t="shared" si="12"/>
        <v>20</v>
      </c>
      <c r="K18">
        <f t="shared" si="13"/>
        <v>17.428844553971448</v>
      </c>
      <c r="L18">
        <f t="shared" si="14"/>
        <v>2.6889487819399975E-2</v>
      </c>
      <c r="M18" s="64">
        <f t="shared" si="15"/>
        <v>0.1075579512775999</v>
      </c>
      <c r="N18" s="63">
        <f t="shared" si="16"/>
        <v>20</v>
      </c>
      <c r="O18">
        <f t="shared" si="17"/>
        <v>18.119012895995102</v>
      </c>
      <c r="P18">
        <f t="shared" si="18"/>
        <v>2.1113093602462617E-2</v>
      </c>
      <c r="Q18" s="64">
        <f t="shared" si="19"/>
        <v>8.445237440985047E-2</v>
      </c>
    </row>
    <row r="19" spans="1:17" x14ac:dyDescent="0.2">
      <c r="A19" s="62">
        <v>5</v>
      </c>
      <c r="B19" s="63">
        <f t="shared" si="4"/>
        <v>45</v>
      </c>
      <c r="C19">
        <f t="shared" si="5"/>
        <v>37.888792508633585</v>
      </c>
      <c r="D19">
        <f t="shared" si="6"/>
        <v>3.5451848224734545E-2</v>
      </c>
      <c r="E19" s="64">
        <f t="shared" si="7"/>
        <v>0.17725924112367272</v>
      </c>
      <c r="F19" s="63">
        <f t="shared" si="8"/>
        <v>45</v>
      </c>
      <c r="G19">
        <f t="shared" si="9"/>
        <v>37.888792508633585</v>
      </c>
      <c r="H19">
        <f t="shared" si="10"/>
        <v>3.0690213343179017E-2</v>
      </c>
      <c r="I19" s="64">
        <f t="shared" si="11"/>
        <v>0.15345106671589509</v>
      </c>
      <c r="J19" s="63">
        <f t="shared" si="12"/>
        <v>20</v>
      </c>
      <c r="K19">
        <f t="shared" si="13"/>
        <v>16.839463337170482</v>
      </c>
      <c r="L19">
        <f t="shared" si="14"/>
        <v>2.5980181468019302E-2</v>
      </c>
      <c r="M19" s="64">
        <f t="shared" si="15"/>
        <v>0.12990090734009652</v>
      </c>
      <c r="N19" s="63">
        <f t="shared" si="16"/>
        <v>20</v>
      </c>
      <c r="O19">
        <f t="shared" si="17"/>
        <v>17.677085752190344</v>
      </c>
      <c r="P19">
        <f t="shared" si="18"/>
        <v>2.0598140099963531E-2</v>
      </c>
      <c r="Q19" s="64">
        <f t="shared" si="19"/>
        <v>0.10299070049981765</v>
      </c>
    </row>
    <row r="20" spans="1:17" x14ac:dyDescent="0.2">
      <c r="A20" s="62">
        <v>6</v>
      </c>
      <c r="B20" s="63">
        <f t="shared" si="4"/>
        <v>45</v>
      </c>
      <c r="C20">
        <f t="shared" si="5"/>
        <v>36.607528993848874</v>
      </c>
      <c r="D20">
        <f t="shared" si="6"/>
        <v>3.42529934538498E-2</v>
      </c>
      <c r="E20" s="64">
        <f t="shared" si="7"/>
        <v>0.2055179607230988</v>
      </c>
      <c r="F20" s="63">
        <f t="shared" si="8"/>
        <v>45</v>
      </c>
      <c r="G20">
        <f t="shared" si="9"/>
        <v>36.607528993848874</v>
      </c>
      <c r="H20">
        <f t="shared" si="10"/>
        <v>2.9652380041718857E-2</v>
      </c>
      <c r="I20" s="64">
        <f t="shared" si="11"/>
        <v>0.17791428025031314</v>
      </c>
      <c r="J20" s="63">
        <f t="shared" si="12"/>
        <v>20</v>
      </c>
      <c r="K20">
        <f t="shared" si="13"/>
        <v>16.270012886155055</v>
      </c>
      <c r="L20">
        <f t="shared" si="14"/>
        <v>2.5101624606781933E-2</v>
      </c>
      <c r="M20" s="64">
        <f t="shared" si="15"/>
        <v>0.1506097476406916</v>
      </c>
      <c r="N20" s="63">
        <f t="shared" si="16"/>
        <v>20</v>
      </c>
      <c r="O20">
        <f t="shared" si="17"/>
        <v>17.245937319210093</v>
      </c>
      <c r="P20">
        <f t="shared" si="18"/>
        <v>2.0095746438988812E-2</v>
      </c>
      <c r="Q20" s="64">
        <f t="shared" si="19"/>
        <v>0.12057447863393286</v>
      </c>
    </row>
    <row r="21" spans="1:17" x14ac:dyDescent="0.2">
      <c r="A21" s="62">
        <v>7</v>
      </c>
      <c r="B21" s="63">
        <f t="shared" si="4"/>
        <v>45</v>
      </c>
      <c r="C21">
        <f t="shared" si="5"/>
        <v>35.369593230771862</v>
      </c>
      <c r="D21">
        <f t="shared" si="6"/>
        <v>3.309467966555537E-2</v>
      </c>
      <c r="E21" s="64">
        <f t="shared" si="7"/>
        <v>0.23166275765888758</v>
      </c>
      <c r="F21" s="63">
        <f t="shared" si="8"/>
        <v>45</v>
      </c>
      <c r="G21">
        <f t="shared" si="9"/>
        <v>35.369593230771862</v>
      </c>
      <c r="H21">
        <f t="shared" si="10"/>
        <v>2.8649642552385373E-2</v>
      </c>
      <c r="I21" s="64">
        <f t="shared" si="11"/>
        <v>0.20054749786669762</v>
      </c>
      <c r="J21" s="63">
        <f t="shared" si="12"/>
        <v>20</v>
      </c>
      <c r="K21">
        <f t="shared" si="13"/>
        <v>15.719819213676383</v>
      </c>
      <c r="L21">
        <f t="shared" si="14"/>
        <v>2.4252777397856942E-2</v>
      </c>
      <c r="M21" s="64">
        <f t="shared" si="15"/>
        <v>0.16976944178499859</v>
      </c>
      <c r="N21" s="63">
        <f t="shared" si="16"/>
        <v>20</v>
      </c>
      <c r="O21">
        <f t="shared" si="17"/>
        <v>16.825304701668383</v>
      </c>
      <c r="P21">
        <f t="shared" si="18"/>
        <v>1.9605606281940302E-2</v>
      </c>
      <c r="Q21" s="64">
        <f t="shared" si="19"/>
        <v>0.13723924397358211</v>
      </c>
    </row>
    <row r="22" spans="1:17" x14ac:dyDescent="0.2">
      <c r="A22" s="62">
        <v>8</v>
      </c>
      <c r="B22" s="63">
        <f t="shared" si="4"/>
        <v>1045</v>
      </c>
      <c r="C22">
        <f t="shared" si="5"/>
        <v>793.58507624598178</v>
      </c>
      <c r="D22">
        <f t="shared" si="6"/>
        <v>0.74254300054761924</v>
      </c>
      <c r="E22" s="64">
        <f t="shared" si="7"/>
        <v>5.9403440043809539</v>
      </c>
      <c r="F22" s="63">
        <f t="shared" si="8"/>
        <v>45</v>
      </c>
      <c r="G22">
        <f t="shared" si="9"/>
        <v>34.173520029731272</v>
      </c>
      <c r="H22">
        <f t="shared" si="10"/>
        <v>2.7680814060275723E-2</v>
      </c>
      <c r="I22" s="64">
        <f t="shared" si="11"/>
        <v>0.22144651248220579</v>
      </c>
      <c r="J22" s="63">
        <f t="shared" si="12"/>
        <v>20</v>
      </c>
      <c r="K22">
        <f t="shared" si="13"/>
        <v>15.188231124325011</v>
      </c>
      <c r="L22">
        <f t="shared" si="14"/>
        <v>2.3432635167011544E-2</v>
      </c>
      <c r="M22" s="64">
        <f t="shared" si="15"/>
        <v>0.18746108133609235</v>
      </c>
      <c r="N22" s="63">
        <f t="shared" si="16"/>
        <v>20</v>
      </c>
      <c r="O22">
        <f t="shared" si="17"/>
        <v>16.414931416261837</v>
      </c>
      <c r="P22">
        <f t="shared" si="18"/>
        <v>1.9127420762868587E-2</v>
      </c>
      <c r="Q22" s="64">
        <f t="shared" si="19"/>
        <v>0.1530193661029487</v>
      </c>
    </row>
    <row r="23" spans="1:17" x14ac:dyDescent="0.2">
      <c r="A23" s="62">
        <v>9</v>
      </c>
      <c r="B23" s="63">
        <f t="shared" si="4"/>
        <v>0</v>
      </c>
      <c r="C23">
        <f t="shared" si="5"/>
        <v>0</v>
      </c>
      <c r="D23">
        <f t="shared" si="6"/>
        <v>0</v>
      </c>
      <c r="E23" s="64">
        <f t="shared" si="7"/>
        <v>0</v>
      </c>
      <c r="F23" s="63">
        <f t="shared" si="8"/>
        <v>45</v>
      </c>
      <c r="G23">
        <f t="shared" si="9"/>
        <v>33.017893748532636</v>
      </c>
      <c r="H23">
        <f t="shared" si="10"/>
        <v>2.6744747884324377E-2</v>
      </c>
      <c r="I23" s="64">
        <f t="shared" si="11"/>
        <v>0.24070273095891939</v>
      </c>
      <c r="J23" s="63">
        <f t="shared" si="12"/>
        <v>20</v>
      </c>
      <c r="K23">
        <f t="shared" si="13"/>
        <v>14.674619443792283</v>
      </c>
      <c r="L23">
        <f t="shared" si="14"/>
        <v>2.264022721450391E-2</v>
      </c>
      <c r="M23" s="64">
        <f t="shared" si="15"/>
        <v>0.20376204493053518</v>
      </c>
      <c r="N23" s="63">
        <f t="shared" si="16"/>
        <v>20</v>
      </c>
      <c r="O23">
        <f t="shared" si="17"/>
        <v>16.014567235377406</v>
      </c>
      <c r="P23">
        <f t="shared" si="18"/>
        <v>1.8660898305237653E-2</v>
      </c>
      <c r="Q23" s="64">
        <f t="shared" si="19"/>
        <v>0.16794808474713888</v>
      </c>
    </row>
    <row r="24" spans="1:17" x14ac:dyDescent="0.2">
      <c r="A24" s="62">
        <v>10</v>
      </c>
      <c r="B24" s="63">
        <f t="shared" si="4"/>
        <v>0</v>
      </c>
      <c r="C24">
        <f t="shared" si="5"/>
        <v>0</v>
      </c>
      <c r="D24">
        <f t="shared" si="6"/>
        <v>0</v>
      </c>
      <c r="E24" s="64">
        <f t="shared" si="7"/>
        <v>0</v>
      </c>
      <c r="F24" s="63">
        <f t="shared" si="8"/>
        <v>45</v>
      </c>
      <c r="G24">
        <f t="shared" si="9"/>
        <v>31.901346616939747</v>
      </c>
      <c r="H24">
        <f t="shared" si="10"/>
        <v>2.5840336120120173E-2</v>
      </c>
      <c r="I24" s="64">
        <f t="shared" si="11"/>
        <v>0.25840336120120172</v>
      </c>
      <c r="J24" s="63">
        <f t="shared" si="12"/>
        <v>20</v>
      </c>
      <c r="K24">
        <f t="shared" si="13"/>
        <v>14.178376274195443</v>
      </c>
      <c r="L24">
        <f t="shared" si="14"/>
        <v>2.1874615666187355E-2</v>
      </c>
      <c r="M24" s="64">
        <f t="shared" si="15"/>
        <v>0.21874615666187355</v>
      </c>
      <c r="N24" s="63">
        <f t="shared" si="16"/>
        <v>20</v>
      </c>
      <c r="O24">
        <f t="shared" si="17"/>
        <v>15.623968034514542</v>
      </c>
      <c r="P24">
        <f t="shared" si="18"/>
        <v>1.8205754444134293E-2</v>
      </c>
      <c r="Q24" s="64">
        <f t="shared" si="19"/>
        <v>0.18205754444134292</v>
      </c>
    </row>
    <row r="25" spans="1:17" x14ac:dyDescent="0.2">
      <c r="A25" s="62">
        <v>11</v>
      </c>
      <c r="B25" s="63">
        <f t="shared" si="4"/>
        <v>0</v>
      </c>
      <c r="C25">
        <f t="shared" si="5"/>
        <v>0</v>
      </c>
      <c r="D25">
        <f t="shared" si="6"/>
        <v>0</v>
      </c>
      <c r="E25" s="64">
        <f t="shared" si="7"/>
        <v>0</v>
      </c>
      <c r="F25" s="63">
        <f t="shared" si="8"/>
        <v>45</v>
      </c>
      <c r="G25">
        <f t="shared" si="9"/>
        <v>30.822557117816181</v>
      </c>
      <c r="H25">
        <f t="shared" si="10"/>
        <v>2.4966508328618527E-2</v>
      </c>
      <c r="I25" s="64">
        <f t="shared" si="11"/>
        <v>0.27463159161480377</v>
      </c>
      <c r="J25" s="63">
        <f t="shared" si="12"/>
        <v>20</v>
      </c>
      <c r="K25">
        <f t="shared" si="13"/>
        <v>13.698914274584968</v>
      </c>
      <c r="L25">
        <f t="shared" si="14"/>
        <v>2.113489436346604E-2</v>
      </c>
      <c r="M25" s="64">
        <f t="shared" si="15"/>
        <v>0.23248383799812644</v>
      </c>
      <c r="N25" s="63">
        <f t="shared" si="16"/>
        <v>20</v>
      </c>
      <c r="O25">
        <f t="shared" si="17"/>
        <v>15.242895643428822</v>
      </c>
      <c r="P25">
        <f t="shared" si="18"/>
        <v>1.7761711652813945E-2</v>
      </c>
      <c r="Q25" s="64">
        <f t="shared" si="19"/>
        <v>0.1953788281809534</v>
      </c>
    </row>
    <row r="26" spans="1:17" x14ac:dyDescent="0.2">
      <c r="A26" s="62">
        <v>12</v>
      </c>
      <c r="B26" s="63">
        <f t="shared" si="4"/>
        <v>0</v>
      </c>
      <c r="C26">
        <f t="shared" si="5"/>
        <v>0</v>
      </c>
      <c r="D26">
        <f t="shared" si="6"/>
        <v>0</v>
      </c>
      <c r="E26" s="64">
        <f t="shared" si="7"/>
        <v>0</v>
      </c>
      <c r="F26" s="63">
        <f t="shared" si="8"/>
        <v>45</v>
      </c>
      <c r="G26">
        <f t="shared" si="9"/>
        <v>29.780248423010804</v>
      </c>
      <c r="H26">
        <f t="shared" si="10"/>
        <v>2.4122230269196642E-2</v>
      </c>
      <c r="I26" s="64">
        <f t="shared" si="11"/>
        <v>0.28946676323035969</v>
      </c>
      <c r="J26" s="63">
        <f t="shared" si="12"/>
        <v>20</v>
      </c>
      <c r="K26">
        <f t="shared" si="13"/>
        <v>13.23566596578258</v>
      </c>
      <c r="L26">
        <f t="shared" si="14"/>
        <v>2.0420187790788448E-2</v>
      </c>
      <c r="M26" s="64">
        <f t="shared" si="15"/>
        <v>0.24504225348946138</v>
      </c>
      <c r="N26" s="63">
        <f t="shared" si="16"/>
        <v>20</v>
      </c>
      <c r="O26">
        <f t="shared" si="17"/>
        <v>14.871117700906169</v>
      </c>
      <c r="P26">
        <f t="shared" si="18"/>
        <v>1.7328499173477022E-2</v>
      </c>
      <c r="Q26" s="64">
        <f t="shared" si="19"/>
        <v>0.20794199008172426</v>
      </c>
    </row>
    <row r="27" spans="1:17" x14ac:dyDescent="0.2">
      <c r="A27" s="62">
        <v>13</v>
      </c>
      <c r="B27" s="63">
        <f t="shared" si="4"/>
        <v>0</v>
      </c>
      <c r="C27">
        <f t="shared" si="5"/>
        <v>0</v>
      </c>
      <c r="D27">
        <f t="shared" si="6"/>
        <v>0</v>
      </c>
      <c r="E27" s="64">
        <f t="shared" si="7"/>
        <v>0</v>
      </c>
      <c r="F27" s="63">
        <f t="shared" si="8"/>
        <v>45</v>
      </c>
      <c r="G27">
        <f t="shared" si="9"/>
        <v>28.773186882136049</v>
      </c>
      <c r="H27">
        <f t="shared" si="10"/>
        <v>2.3306502675552319E-2</v>
      </c>
      <c r="I27" s="64">
        <f t="shared" si="11"/>
        <v>0.30298453478218013</v>
      </c>
      <c r="J27" s="63">
        <f t="shared" si="12"/>
        <v>20</v>
      </c>
      <c r="K27">
        <f t="shared" si="13"/>
        <v>12.788083058727134</v>
      </c>
      <c r="L27">
        <f t="shared" si="14"/>
        <v>1.9729650039409134E-2</v>
      </c>
      <c r="M27" s="64">
        <f t="shared" si="15"/>
        <v>0.25648545051231875</v>
      </c>
      <c r="N27" s="63">
        <f t="shared" si="16"/>
        <v>20</v>
      </c>
      <c r="O27">
        <f t="shared" si="17"/>
        <v>14.50840751307919</v>
      </c>
      <c r="P27">
        <f t="shared" si="18"/>
        <v>1.6905852852172706E-2</v>
      </c>
      <c r="Q27" s="64">
        <f t="shared" si="19"/>
        <v>0.2197760870782452</v>
      </c>
    </row>
    <row r="28" spans="1:17" x14ac:dyDescent="0.2">
      <c r="A28" s="62">
        <v>14</v>
      </c>
      <c r="B28" s="63">
        <f t="shared" si="4"/>
        <v>0</v>
      </c>
      <c r="C28">
        <f t="shared" si="5"/>
        <v>0</v>
      </c>
      <c r="D28">
        <f t="shared" si="6"/>
        <v>0</v>
      </c>
      <c r="E28" s="64">
        <f t="shared" si="7"/>
        <v>0</v>
      </c>
      <c r="F28" s="63">
        <f t="shared" si="8"/>
        <v>45</v>
      </c>
      <c r="G28">
        <f t="shared" si="9"/>
        <v>27.800180562450286</v>
      </c>
      <c r="H28">
        <f t="shared" si="10"/>
        <v>2.2518360072997408E-2</v>
      </c>
      <c r="I28" s="64">
        <f t="shared" si="11"/>
        <v>0.31525704102196372</v>
      </c>
      <c r="J28" s="63">
        <f t="shared" si="12"/>
        <v>20</v>
      </c>
      <c r="K28">
        <f t="shared" si="13"/>
        <v>12.35563580553346</v>
      </c>
      <c r="L28">
        <f t="shared" si="14"/>
        <v>1.9062463806192396E-2</v>
      </c>
      <c r="M28" s="64">
        <f t="shared" si="15"/>
        <v>0.26687449328669355</v>
      </c>
      <c r="N28" s="63">
        <f t="shared" si="16"/>
        <v>20</v>
      </c>
      <c r="O28">
        <f t="shared" si="17"/>
        <v>14.154543915199211</v>
      </c>
      <c r="P28">
        <f t="shared" si="18"/>
        <v>1.6493514977729471E-2</v>
      </c>
      <c r="Q28" s="64">
        <f t="shared" si="19"/>
        <v>0.2309092096882126</v>
      </c>
    </row>
    <row r="29" spans="1:17" x14ac:dyDescent="0.2">
      <c r="A29" s="62">
        <v>15</v>
      </c>
      <c r="B29" s="63">
        <f t="shared" si="4"/>
        <v>0</v>
      </c>
      <c r="C29">
        <f t="shared" si="5"/>
        <v>0</v>
      </c>
      <c r="D29">
        <f t="shared" si="6"/>
        <v>0</v>
      </c>
      <c r="E29" s="64">
        <f t="shared" si="7"/>
        <v>0</v>
      </c>
      <c r="F29" s="63">
        <f t="shared" si="8"/>
        <v>45</v>
      </c>
      <c r="G29">
        <f t="shared" si="9"/>
        <v>26.860077838116222</v>
      </c>
      <c r="H29">
        <f t="shared" si="10"/>
        <v>2.1756869635746291E-2</v>
      </c>
      <c r="I29" s="64">
        <f t="shared" si="11"/>
        <v>0.32635304453619435</v>
      </c>
      <c r="J29" s="63">
        <f t="shared" si="12"/>
        <v>20</v>
      </c>
      <c r="K29">
        <f t="shared" si="13"/>
        <v>11.937812372496099</v>
      </c>
      <c r="L29">
        <f t="shared" si="14"/>
        <v>1.8417839426272849E-2</v>
      </c>
      <c r="M29" s="64">
        <f t="shared" si="15"/>
        <v>0.27626759139409274</v>
      </c>
      <c r="N29" s="63">
        <f t="shared" si="16"/>
        <v>20</v>
      </c>
      <c r="O29">
        <f t="shared" si="17"/>
        <v>13.809311136779716</v>
      </c>
      <c r="P29">
        <f t="shared" si="18"/>
        <v>1.6091234124614114E-2</v>
      </c>
      <c r="Q29" s="64">
        <f t="shared" si="19"/>
        <v>0.24136851186921171</v>
      </c>
    </row>
    <row r="30" spans="1:17" x14ac:dyDescent="0.2">
      <c r="A30" s="62">
        <v>16</v>
      </c>
      <c r="B30" s="63">
        <f t="shared" si="4"/>
        <v>0</v>
      </c>
      <c r="C30">
        <f t="shared" si="5"/>
        <v>0</v>
      </c>
      <c r="D30">
        <f t="shared" si="6"/>
        <v>0</v>
      </c>
      <c r="E30" s="64">
        <f t="shared" si="7"/>
        <v>0</v>
      </c>
      <c r="F30" s="63">
        <f t="shared" si="8"/>
        <v>45</v>
      </c>
      <c r="G30">
        <f t="shared" si="9"/>
        <v>25.951766027165437</v>
      </c>
      <c r="H30">
        <f t="shared" si="10"/>
        <v>2.1021130082846659E-2</v>
      </c>
      <c r="I30" s="64">
        <f t="shared" si="11"/>
        <v>0.33633808132554655</v>
      </c>
      <c r="J30" s="63">
        <f t="shared" si="12"/>
        <v>20</v>
      </c>
      <c r="K30">
        <f t="shared" si="13"/>
        <v>11.53411823429575</v>
      </c>
      <c r="L30">
        <f t="shared" si="14"/>
        <v>1.7795013938427879E-2</v>
      </c>
      <c r="M30" s="64">
        <f t="shared" si="15"/>
        <v>0.28472022301484606</v>
      </c>
      <c r="N30" s="63">
        <f t="shared" si="16"/>
        <v>20</v>
      </c>
      <c r="O30">
        <f t="shared" si="17"/>
        <v>13.472498670028992</v>
      </c>
      <c r="P30">
        <f t="shared" si="18"/>
        <v>1.5698764999623527E-2</v>
      </c>
      <c r="Q30" s="64">
        <f t="shared" si="19"/>
        <v>0.25118023999397643</v>
      </c>
    </row>
    <row r="31" spans="1:17" x14ac:dyDescent="0.2">
      <c r="A31" s="62">
        <v>17</v>
      </c>
      <c r="B31" s="63">
        <f t="shared" si="4"/>
        <v>0</v>
      </c>
      <c r="C31">
        <f t="shared" si="5"/>
        <v>0</v>
      </c>
      <c r="D31">
        <f t="shared" si="6"/>
        <v>0</v>
      </c>
      <c r="E31" s="64">
        <f t="shared" si="7"/>
        <v>0</v>
      </c>
      <c r="F31" s="63">
        <f t="shared" si="8"/>
        <v>45</v>
      </c>
      <c r="G31">
        <f t="shared" si="9"/>
        <v>25.07417007455598</v>
      </c>
      <c r="H31">
        <f t="shared" si="10"/>
        <v>2.0310270611446048E-2</v>
      </c>
      <c r="I31" s="64">
        <f t="shared" si="11"/>
        <v>0.3452746003945828</v>
      </c>
      <c r="J31" s="63">
        <f t="shared" si="12"/>
        <v>20</v>
      </c>
      <c r="K31">
        <f t="shared" si="13"/>
        <v>11.144075588691546</v>
      </c>
      <c r="L31">
        <f t="shared" si="14"/>
        <v>1.7193250182055923E-2</v>
      </c>
      <c r="M31" s="64">
        <f t="shared" si="15"/>
        <v>0.29228525309495068</v>
      </c>
      <c r="N31" s="63">
        <f t="shared" si="16"/>
        <v>20</v>
      </c>
      <c r="O31">
        <f t="shared" si="17"/>
        <v>13.143901141491702</v>
      </c>
      <c r="P31">
        <f t="shared" si="18"/>
        <v>1.5315868292315639E-2</v>
      </c>
      <c r="Q31" s="64">
        <f t="shared" si="19"/>
        <v>0.26036976096936587</v>
      </c>
    </row>
    <row r="32" spans="1:17" x14ac:dyDescent="0.2">
      <c r="A32" s="62">
        <v>18</v>
      </c>
      <c r="B32" s="63">
        <f t="shared" si="4"/>
        <v>0</v>
      </c>
      <c r="C32">
        <f t="shared" si="5"/>
        <v>0</v>
      </c>
      <c r="D32">
        <f t="shared" si="6"/>
        <v>0</v>
      </c>
      <c r="E32" s="64">
        <f t="shared" si="7"/>
        <v>0</v>
      </c>
      <c r="F32" s="63">
        <f t="shared" si="8"/>
        <v>45</v>
      </c>
      <c r="G32">
        <f t="shared" si="9"/>
        <v>24.226251279764234</v>
      </c>
      <c r="H32">
        <f t="shared" si="10"/>
        <v>1.9623449866131452E-2</v>
      </c>
      <c r="I32" s="64">
        <f t="shared" si="11"/>
        <v>0.35322209759036616</v>
      </c>
      <c r="J32" s="63">
        <f t="shared" si="12"/>
        <v>20</v>
      </c>
      <c r="K32">
        <f t="shared" si="13"/>
        <v>10.767222791006326</v>
      </c>
      <c r="L32">
        <f t="shared" si="14"/>
        <v>1.6611835924691714E-2</v>
      </c>
      <c r="M32" s="64">
        <f t="shared" si="15"/>
        <v>0.29901304664445083</v>
      </c>
      <c r="N32" s="63">
        <f t="shared" si="16"/>
        <v>20</v>
      </c>
      <c r="O32">
        <f t="shared" si="17"/>
        <v>12.823318186821171</v>
      </c>
      <c r="P32">
        <f t="shared" si="18"/>
        <v>1.4942310529088426E-2</v>
      </c>
      <c r="Q32" s="64">
        <f t="shared" si="19"/>
        <v>0.26896158952359167</v>
      </c>
    </row>
    <row r="33" spans="1:17" x14ac:dyDescent="0.2">
      <c r="A33" s="62">
        <v>19</v>
      </c>
      <c r="B33" s="63">
        <f t="shared" si="4"/>
        <v>0</v>
      </c>
      <c r="C33">
        <f t="shared" si="5"/>
        <v>0</v>
      </c>
      <c r="D33">
        <f t="shared" si="6"/>
        <v>0</v>
      </c>
      <c r="E33" s="64">
        <f t="shared" si="7"/>
        <v>0</v>
      </c>
      <c r="F33" s="63">
        <f t="shared" si="8"/>
        <v>45</v>
      </c>
      <c r="G33">
        <f t="shared" si="9"/>
        <v>23.407006067405057</v>
      </c>
      <c r="H33">
        <f t="shared" si="10"/>
        <v>1.8959854943122176E-2</v>
      </c>
      <c r="I33" s="64">
        <f t="shared" si="11"/>
        <v>0.36023724391932133</v>
      </c>
      <c r="J33" s="63">
        <f t="shared" si="12"/>
        <v>20</v>
      </c>
      <c r="K33">
        <f t="shared" si="13"/>
        <v>10.403113807735581</v>
      </c>
      <c r="L33">
        <f t="shared" si="14"/>
        <v>1.6050083019025808E-2</v>
      </c>
      <c r="M33" s="64">
        <f t="shared" si="15"/>
        <v>0.30495157736149037</v>
      </c>
      <c r="N33" s="63">
        <f t="shared" si="16"/>
        <v>20</v>
      </c>
      <c r="O33">
        <f t="shared" si="17"/>
        <v>12.510554328606021</v>
      </c>
      <c r="P33">
        <f t="shared" si="18"/>
        <v>1.4577863930817978E-2</v>
      </c>
      <c r="Q33" s="64">
        <f t="shared" si="19"/>
        <v>0.2769794146855416</v>
      </c>
    </row>
    <row r="34" spans="1:17" x14ac:dyDescent="0.2">
      <c r="A34" s="62">
        <v>20</v>
      </c>
      <c r="B34" s="63">
        <f t="shared" si="4"/>
        <v>0</v>
      </c>
      <c r="C34">
        <f t="shared" si="5"/>
        <v>0</v>
      </c>
      <c r="D34">
        <f t="shared" si="6"/>
        <v>0</v>
      </c>
      <c r="E34" s="64">
        <f t="shared" si="7"/>
        <v>0</v>
      </c>
      <c r="F34" s="63">
        <f t="shared" si="8"/>
        <v>45</v>
      </c>
      <c r="G34">
        <f t="shared" si="9"/>
        <v>22.61546479942518</v>
      </c>
      <c r="H34">
        <f t="shared" si="10"/>
        <v>1.831870042813737E-2</v>
      </c>
      <c r="I34" s="64">
        <f t="shared" si="11"/>
        <v>0.36637400856274738</v>
      </c>
      <c r="J34" s="63">
        <f t="shared" si="12"/>
        <v>20</v>
      </c>
      <c r="K34">
        <f t="shared" si="13"/>
        <v>10.051317688633413</v>
      </c>
      <c r="L34">
        <f t="shared" si="14"/>
        <v>1.5507326588430737E-2</v>
      </c>
      <c r="M34" s="64">
        <f t="shared" si="15"/>
        <v>0.31014653176861473</v>
      </c>
      <c r="N34" s="63">
        <f t="shared" si="16"/>
        <v>20</v>
      </c>
      <c r="O34">
        <f t="shared" si="17"/>
        <v>12.205418857176607</v>
      </c>
      <c r="P34">
        <f t="shared" si="18"/>
        <v>1.422230627396876E-2</v>
      </c>
      <c r="Q34" s="64">
        <f t="shared" si="19"/>
        <v>0.2844461254793752</v>
      </c>
    </row>
    <row r="35" spans="1:17" x14ac:dyDescent="0.2">
      <c r="A35" s="62">
        <v>21</v>
      </c>
      <c r="B35" s="63">
        <f t="shared" si="4"/>
        <v>0</v>
      </c>
      <c r="C35">
        <f t="shared" si="5"/>
        <v>0</v>
      </c>
      <c r="D35">
        <f t="shared" si="6"/>
        <v>0</v>
      </c>
      <c r="E35" s="64">
        <f t="shared" si="7"/>
        <v>0</v>
      </c>
      <c r="F35" s="63">
        <f t="shared" si="8"/>
        <v>45</v>
      </c>
      <c r="G35">
        <f t="shared" si="9"/>
        <v>21.850690627463944</v>
      </c>
      <c r="H35">
        <f t="shared" si="10"/>
        <v>1.7699227466799392E-2</v>
      </c>
      <c r="I35" s="64">
        <f t="shared" si="11"/>
        <v>0.37168377680278725</v>
      </c>
      <c r="J35" s="63">
        <f t="shared" si="12"/>
        <v>20</v>
      </c>
      <c r="K35">
        <f t="shared" si="13"/>
        <v>9.7114180566506416</v>
      </c>
      <c r="L35">
        <f t="shared" si="14"/>
        <v>1.4982924240029699E-2</v>
      </c>
      <c r="M35" s="64">
        <f t="shared" si="15"/>
        <v>0.31464140904062365</v>
      </c>
      <c r="N35" s="63">
        <f t="shared" si="16"/>
        <v>20</v>
      </c>
      <c r="O35">
        <f t="shared" si="17"/>
        <v>11.907725714318643</v>
      </c>
      <c r="P35">
        <f t="shared" si="18"/>
        <v>1.3875420755091475E-2</v>
      </c>
      <c r="Q35" s="64">
        <f t="shared" si="19"/>
        <v>0.29138383585692096</v>
      </c>
    </row>
    <row r="36" spans="1:17" x14ac:dyDescent="0.2">
      <c r="A36" s="62">
        <v>22</v>
      </c>
      <c r="B36" s="63">
        <f t="shared" si="4"/>
        <v>0</v>
      </c>
      <c r="C36">
        <f t="shared" si="5"/>
        <v>0</v>
      </c>
      <c r="D36">
        <f t="shared" si="6"/>
        <v>0</v>
      </c>
      <c r="E36" s="64">
        <f t="shared" si="7"/>
        <v>0</v>
      </c>
      <c r="F36" s="63">
        <f t="shared" si="8"/>
        <v>45</v>
      </c>
      <c r="G36">
        <f t="shared" si="9"/>
        <v>21.111778384023136</v>
      </c>
      <c r="H36">
        <f t="shared" si="10"/>
        <v>1.7100702866472844E-2</v>
      </c>
      <c r="I36" s="64">
        <f t="shared" si="11"/>
        <v>0.37621546306240256</v>
      </c>
      <c r="J36" s="63">
        <f t="shared" si="12"/>
        <v>20</v>
      </c>
      <c r="K36">
        <f t="shared" si="13"/>
        <v>9.3830126151213928</v>
      </c>
      <c r="L36">
        <f t="shared" si="14"/>
        <v>1.4476255304376521E-2</v>
      </c>
      <c r="M36" s="64">
        <f t="shared" si="15"/>
        <v>0.31847761669628344</v>
      </c>
      <c r="N36" s="63">
        <f t="shared" si="16"/>
        <v>20</v>
      </c>
      <c r="O36">
        <f t="shared" si="17"/>
        <v>11.617293379823066</v>
      </c>
      <c r="P36">
        <f t="shared" si="18"/>
        <v>1.353699585862583E-2</v>
      </c>
      <c r="Q36" s="64">
        <f t="shared" si="19"/>
        <v>0.29781390888976828</v>
      </c>
    </row>
    <row r="37" spans="1:17" x14ac:dyDescent="0.2">
      <c r="A37" s="62">
        <v>23</v>
      </c>
      <c r="B37" s="63">
        <f t="shared" si="4"/>
        <v>0</v>
      </c>
      <c r="C37">
        <f t="shared" si="5"/>
        <v>0</v>
      </c>
      <c r="D37">
        <f t="shared" si="6"/>
        <v>0</v>
      </c>
      <c r="E37" s="64">
        <f t="shared" si="7"/>
        <v>0</v>
      </c>
      <c r="F37" s="63">
        <f t="shared" si="8"/>
        <v>45</v>
      </c>
      <c r="G37">
        <f t="shared" si="9"/>
        <v>20.397853511133462</v>
      </c>
      <c r="H37">
        <f t="shared" si="10"/>
        <v>1.6522418228476176E-2</v>
      </c>
      <c r="I37" s="64">
        <f t="shared" si="11"/>
        <v>0.38001561925495203</v>
      </c>
      <c r="J37" s="63">
        <f t="shared" si="12"/>
        <v>20</v>
      </c>
      <c r="K37">
        <f t="shared" si="13"/>
        <v>9.0657126716148735</v>
      </c>
      <c r="L37">
        <f t="shared" si="14"/>
        <v>1.3986720100846882E-2</v>
      </c>
      <c r="M37" s="64">
        <f t="shared" si="15"/>
        <v>0.32169456231947829</v>
      </c>
      <c r="N37" s="63">
        <f t="shared" si="16"/>
        <v>20</v>
      </c>
      <c r="O37">
        <f t="shared" si="17"/>
        <v>11.333944760802991</v>
      </c>
      <c r="P37">
        <f t="shared" si="18"/>
        <v>1.3206825227927639E-2</v>
      </c>
      <c r="Q37" s="64">
        <f t="shared" si="19"/>
        <v>0.30375698024233572</v>
      </c>
    </row>
    <row r="38" spans="1:17" x14ac:dyDescent="0.2">
      <c r="A38" s="62">
        <v>24</v>
      </c>
      <c r="B38" s="63">
        <f t="shared" si="4"/>
        <v>0</v>
      </c>
      <c r="C38">
        <f t="shared" si="5"/>
        <v>0</v>
      </c>
      <c r="D38">
        <f t="shared" si="6"/>
        <v>0</v>
      </c>
      <c r="E38" s="64">
        <f t="shared" si="7"/>
        <v>0</v>
      </c>
      <c r="F38" s="63">
        <f t="shared" si="8"/>
        <v>45</v>
      </c>
      <c r="G38">
        <f t="shared" si="9"/>
        <v>19.708071025249726</v>
      </c>
      <c r="H38">
        <f t="shared" si="10"/>
        <v>1.5963689109638822E-2</v>
      </c>
      <c r="I38" s="64">
        <f t="shared" si="11"/>
        <v>0.38312853863133173</v>
      </c>
      <c r="J38" s="63">
        <f t="shared" si="12"/>
        <v>20</v>
      </c>
      <c r="K38">
        <f t="shared" si="13"/>
        <v>8.759142677888768</v>
      </c>
      <c r="L38">
        <f t="shared" si="14"/>
        <v>1.3513739227871385E-2</v>
      </c>
      <c r="M38" s="64">
        <f t="shared" si="15"/>
        <v>0.32432974146891325</v>
      </c>
      <c r="N38" s="63">
        <f t="shared" si="16"/>
        <v>20</v>
      </c>
      <c r="O38">
        <f t="shared" si="17"/>
        <v>11.057507083710236</v>
      </c>
      <c r="P38">
        <f t="shared" si="18"/>
        <v>1.2884707539441599E-2</v>
      </c>
      <c r="Q38" s="64">
        <f t="shared" si="19"/>
        <v>0.3092329809465984</v>
      </c>
    </row>
    <row r="39" spans="1:17" x14ac:dyDescent="0.2">
      <c r="A39" s="62">
        <v>25</v>
      </c>
      <c r="B39" s="63">
        <f t="shared" si="4"/>
        <v>0</v>
      </c>
      <c r="C39">
        <f t="shared" si="5"/>
        <v>0</v>
      </c>
      <c r="D39">
        <f t="shared" si="6"/>
        <v>0</v>
      </c>
      <c r="E39" s="64">
        <f t="shared" si="7"/>
        <v>0</v>
      </c>
      <c r="F39" s="63">
        <f t="shared" si="8"/>
        <v>45</v>
      </c>
      <c r="G39">
        <f t="shared" si="9"/>
        <v>19.041614517149497</v>
      </c>
      <c r="H39">
        <f t="shared" si="10"/>
        <v>1.5423854212211425E-2</v>
      </c>
      <c r="I39" s="64">
        <f t="shared" si="11"/>
        <v>0.38559635530528563</v>
      </c>
      <c r="J39" s="63">
        <f t="shared" si="12"/>
        <v>20</v>
      </c>
      <c r="K39">
        <f t="shared" si="13"/>
        <v>8.4629397853997759</v>
      </c>
      <c r="L39">
        <f t="shared" si="14"/>
        <v>1.3056752877170421E-2</v>
      </c>
      <c r="M39" s="64">
        <f t="shared" si="15"/>
        <v>0.32641882192926053</v>
      </c>
      <c r="N39" s="63">
        <f t="shared" si="16"/>
        <v>20</v>
      </c>
      <c r="O39">
        <f t="shared" si="17"/>
        <v>10.787811788985598</v>
      </c>
      <c r="P39">
        <f t="shared" si="18"/>
        <v>1.2570446379943026E-2</v>
      </c>
      <c r="Q39" s="64">
        <f t="shared" si="19"/>
        <v>0.31426115949857564</v>
      </c>
    </row>
    <row r="40" spans="1:17" x14ac:dyDescent="0.2">
      <c r="A40" s="62">
        <v>26</v>
      </c>
      <c r="B40" s="63">
        <f t="shared" si="4"/>
        <v>0</v>
      </c>
      <c r="C40">
        <f t="shared" si="5"/>
        <v>0</v>
      </c>
      <c r="D40">
        <f t="shared" si="6"/>
        <v>0</v>
      </c>
      <c r="E40" s="64">
        <f t="shared" si="7"/>
        <v>0</v>
      </c>
      <c r="F40" s="63">
        <f t="shared" si="8"/>
        <v>45</v>
      </c>
      <c r="G40">
        <f t="shared" si="9"/>
        <v>18.397695185651688</v>
      </c>
      <c r="H40">
        <f t="shared" si="10"/>
        <v>1.4902274601170459E-2</v>
      </c>
      <c r="I40" s="64">
        <f t="shared" si="11"/>
        <v>0.38745913963043194</v>
      </c>
      <c r="J40" s="63">
        <f t="shared" si="12"/>
        <v>20</v>
      </c>
      <c r="K40">
        <f t="shared" si="13"/>
        <v>8.1767534158451944</v>
      </c>
      <c r="L40">
        <f t="shared" si="14"/>
        <v>1.2615220171179151E-2</v>
      </c>
      <c r="M40" s="64">
        <f t="shared" si="15"/>
        <v>0.32799572445065794</v>
      </c>
      <c r="N40" s="63">
        <f t="shared" si="16"/>
        <v>20</v>
      </c>
      <c r="O40">
        <f t="shared" si="17"/>
        <v>10.524694428278632</v>
      </c>
      <c r="P40">
        <f t="shared" si="18"/>
        <v>1.2263850126773685E-2</v>
      </c>
      <c r="Q40" s="64">
        <f t="shared" si="19"/>
        <v>0.3188601032961158</v>
      </c>
    </row>
    <row r="41" spans="1:17" x14ac:dyDescent="0.2">
      <c r="A41" s="62">
        <v>27</v>
      </c>
      <c r="B41" s="63">
        <f t="shared" si="4"/>
        <v>0</v>
      </c>
      <c r="C41">
        <f t="shared" si="5"/>
        <v>0</v>
      </c>
      <c r="D41">
        <f t="shared" si="6"/>
        <v>0</v>
      </c>
      <c r="E41" s="64">
        <f t="shared" si="7"/>
        <v>0</v>
      </c>
      <c r="F41" s="63">
        <f t="shared" si="8"/>
        <v>45</v>
      </c>
      <c r="G41">
        <f t="shared" si="9"/>
        <v>17.775550904011293</v>
      </c>
      <c r="H41">
        <f t="shared" si="10"/>
        <v>1.4398332947990781E-2</v>
      </c>
      <c r="I41" s="64">
        <f t="shared" si="11"/>
        <v>0.38875498959575111</v>
      </c>
      <c r="J41" s="63">
        <f t="shared" si="12"/>
        <v>20</v>
      </c>
      <c r="K41">
        <f t="shared" si="13"/>
        <v>7.900244846227241</v>
      </c>
      <c r="L41">
        <f t="shared" si="14"/>
        <v>1.2188618522878407E-2</v>
      </c>
      <c r="M41" s="64">
        <f t="shared" si="15"/>
        <v>0.32909270011771702</v>
      </c>
      <c r="N41" s="63">
        <f t="shared" si="16"/>
        <v>20</v>
      </c>
      <c r="O41">
        <f t="shared" si="17"/>
        <v>10.267994564174277</v>
      </c>
      <c r="P41">
        <f t="shared" si="18"/>
        <v>1.1964731830998719E-2</v>
      </c>
      <c r="Q41" s="64">
        <f t="shared" si="19"/>
        <v>0.3230477594369654</v>
      </c>
    </row>
    <row r="42" spans="1:17" x14ac:dyDescent="0.2">
      <c r="A42" s="62">
        <v>28</v>
      </c>
      <c r="B42" s="63">
        <f t="shared" si="4"/>
        <v>0</v>
      </c>
      <c r="C42">
        <f t="shared" si="5"/>
        <v>0</v>
      </c>
      <c r="D42">
        <f t="shared" si="6"/>
        <v>0</v>
      </c>
      <c r="E42" s="64">
        <f t="shared" si="7"/>
        <v>0</v>
      </c>
      <c r="F42" s="63">
        <f t="shared" si="8"/>
        <v>45</v>
      </c>
      <c r="G42">
        <f t="shared" si="9"/>
        <v>17.174445317885308</v>
      </c>
      <c r="H42">
        <f t="shared" si="10"/>
        <v>1.3911432799991094E-2</v>
      </c>
      <c r="I42" s="64">
        <f t="shared" si="11"/>
        <v>0.38952011839975065</v>
      </c>
      <c r="J42" s="63">
        <f t="shared" si="12"/>
        <v>20</v>
      </c>
      <c r="K42">
        <f t="shared" si="13"/>
        <v>7.6330868079490255</v>
      </c>
      <c r="L42">
        <f t="shared" si="14"/>
        <v>1.1776443017273824E-2</v>
      </c>
      <c r="M42" s="64">
        <f t="shared" si="15"/>
        <v>0.32974040448366709</v>
      </c>
      <c r="N42" s="63">
        <f t="shared" si="16"/>
        <v>20</v>
      </c>
      <c r="O42">
        <f t="shared" si="17"/>
        <v>10.017555672365148</v>
      </c>
      <c r="P42">
        <f t="shared" si="18"/>
        <v>1.1672909103413384E-2</v>
      </c>
      <c r="Q42" s="64">
        <f t="shared" si="19"/>
        <v>0.32684145489557476</v>
      </c>
    </row>
    <row r="43" spans="1:17" x14ac:dyDescent="0.2">
      <c r="A43" s="62">
        <v>29</v>
      </c>
      <c r="B43" s="63">
        <f t="shared" si="4"/>
        <v>0</v>
      </c>
      <c r="C43">
        <f t="shared" si="5"/>
        <v>0</v>
      </c>
      <c r="D43">
        <f t="shared" si="6"/>
        <v>0</v>
      </c>
      <c r="E43" s="64">
        <f t="shared" si="7"/>
        <v>0</v>
      </c>
      <c r="F43" s="63">
        <f t="shared" si="8"/>
        <v>45</v>
      </c>
      <c r="G43">
        <f t="shared" si="9"/>
        <v>16.593666973802232</v>
      </c>
      <c r="H43">
        <f t="shared" si="10"/>
        <v>1.3440997874387533E-2</v>
      </c>
      <c r="I43" s="64">
        <f t="shared" si="11"/>
        <v>0.38978893835723843</v>
      </c>
      <c r="J43" s="63">
        <f t="shared" si="12"/>
        <v>20</v>
      </c>
      <c r="K43">
        <f t="shared" si="13"/>
        <v>7.3749630994676592</v>
      </c>
      <c r="L43">
        <f t="shared" si="14"/>
        <v>1.1378205813791136E-2</v>
      </c>
      <c r="M43" s="64">
        <f t="shared" si="15"/>
        <v>0.32996796859994293</v>
      </c>
      <c r="N43" s="63">
        <f t="shared" si="16"/>
        <v>20</v>
      </c>
      <c r="O43">
        <f t="shared" si="17"/>
        <v>9.7732250462099</v>
      </c>
      <c r="P43">
        <f t="shared" si="18"/>
        <v>1.1388204003330129E-2</v>
      </c>
      <c r="Q43" s="64">
        <f t="shared" si="19"/>
        <v>0.33025791609657373</v>
      </c>
    </row>
    <row r="44" spans="1:17" x14ac:dyDescent="0.2">
      <c r="A44" s="62">
        <v>30</v>
      </c>
      <c r="B44" s="63">
        <f t="shared" si="4"/>
        <v>0</v>
      </c>
      <c r="C44">
        <f t="shared" si="5"/>
        <v>0</v>
      </c>
      <c r="D44">
        <f t="shared" si="6"/>
        <v>0</v>
      </c>
      <c r="E44" s="64">
        <f t="shared" si="7"/>
        <v>0</v>
      </c>
      <c r="F44" s="63">
        <f t="shared" si="8"/>
        <v>45</v>
      </c>
      <c r="G44">
        <f t="shared" si="9"/>
        <v>16.032528477103607</v>
      </c>
      <c r="H44">
        <f t="shared" si="10"/>
        <v>1.2986471376219839E-2</v>
      </c>
      <c r="I44" s="64">
        <f t="shared" si="11"/>
        <v>0.3895941412865952</v>
      </c>
      <c r="J44" s="63">
        <f t="shared" si="12"/>
        <v>20</v>
      </c>
      <c r="K44">
        <f t="shared" si="13"/>
        <v>7.1255682120460468</v>
      </c>
      <c r="L44">
        <f t="shared" si="14"/>
        <v>1.0993435568880324E-2</v>
      </c>
      <c r="M44" s="64">
        <f t="shared" si="15"/>
        <v>0.32980306706640972</v>
      </c>
      <c r="N44" s="63">
        <f t="shared" si="16"/>
        <v>20</v>
      </c>
      <c r="O44">
        <f t="shared" si="17"/>
        <v>9.534853703619417</v>
      </c>
      <c r="P44">
        <f t="shared" si="18"/>
        <v>1.1110442930078178E-2</v>
      </c>
      <c r="Q44" s="64">
        <f t="shared" si="19"/>
        <v>0.33331328790234532</v>
      </c>
    </row>
    <row r="45" spans="1:17" x14ac:dyDescent="0.2">
      <c r="A45" s="62">
        <v>31</v>
      </c>
      <c r="B45" s="63">
        <f t="shared" si="4"/>
        <v>0</v>
      </c>
      <c r="C45">
        <f t="shared" si="5"/>
        <v>0</v>
      </c>
      <c r="D45">
        <f t="shared" si="6"/>
        <v>0</v>
      </c>
      <c r="E45" s="64">
        <f t="shared" si="7"/>
        <v>0</v>
      </c>
      <c r="F45" s="63">
        <f t="shared" si="8"/>
        <v>45</v>
      </c>
      <c r="G45">
        <f t="shared" si="9"/>
        <v>15.490365678360973</v>
      </c>
      <c r="H45">
        <f t="shared" si="10"/>
        <v>1.254731533934284E-2</v>
      </c>
      <c r="I45" s="64">
        <f t="shared" si="11"/>
        <v>0.38896677551962805</v>
      </c>
      <c r="J45" s="63">
        <f t="shared" si="12"/>
        <v>20</v>
      </c>
      <c r="K45">
        <f t="shared" si="13"/>
        <v>6.8846069681604325</v>
      </c>
      <c r="L45">
        <f t="shared" si="14"/>
        <v>1.0621676878145242E-2</v>
      </c>
      <c r="M45" s="64">
        <f t="shared" si="15"/>
        <v>0.32927198322250251</v>
      </c>
      <c r="N45" s="63">
        <f t="shared" si="16"/>
        <v>20</v>
      </c>
      <c r="O45">
        <f t="shared" si="17"/>
        <v>9.3022962962140632</v>
      </c>
      <c r="P45">
        <f t="shared" si="18"/>
        <v>1.0839456517149439E-2</v>
      </c>
      <c r="Q45" s="64">
        <f t="shared" si="19"/>
        <v>0.33602315203163258</v>
      </c>
    </row>
    <row r="46" spans="1:17" x14ac:dyDescent="0.2">
      <c r="A46" s="62">
        <v>32</v>
      </c>
      <c r="B46" s="63">
        <f t="shared" si="4"/>
        <v>0</v>
      </c>
      <c r="C46">
        <f t="shared" si="5"/>
        <v>0</v>
      </c>
      <c r="D46">
        <f t="shared" si="6"/>
        <v>0</v>
      </c>
      <c r="E46" s="64">
        <f t="shared" si="7"/>
        <v>0</v>
      </c>
      <c r="F46" s="63">
        <f t="shared" si="8"/>
        <v>45</v>
      </c>
      <c r="G46">
        <f t="shared" si="9"/>
        <v>14.966536887305292</v>
      </c>
      <c r="H46">
        <f t="shared" si="10"/>
        <v>1.212300998970323E-2</v>
      </c>
      <c r="I46" s="64">
        <f t="shared" si="11"/>
        <v>0.38793631967050335</v>
      </c>
      <c r="J46" s="63">
        <f t="shared" si="12"/>
        <v>20</v>
      </c>
      <c r="K46">
        <f t="shared" si="13"/>
        <v>6.6517941721356859</v>
      </c>
      <c r="L46">
        <f t="shared" si="14"/>
        <v>1.0262489737338402E-2</v>
      </c>
      <c r="M46" s="64">
        <f t="shared" si="15"/>
        <v>0.32839967159482886</v>
      </c>
      <c r="N46" s="63">
        <f t="shared" si="16"/>
        <v>20</v>
      </c>
      <c r="O46">
        <f t="shared" si="17"/>
        <v>9.0754110206966487</v>
      </c>
      <c r="P46">
        <f t="shared" si="18"/>
        <v>1.0575079528926284E-2</v>
      </c>
      <c r="Q46" s="64">
        <f t="shared" si="19"/>
        <v>0.33840254492564109</v>
      </c>
    </row>
    <row r="47" spans="1:17" x14ac:dyDescent="0.2">
      <c r="A47" s="62">
        <v>33</v>
      </c>
      <c r="B47" s="63">
        <f t="shared" si="4"/>
        <v>0</v>
      </c>
      <c r="C47">
        <f t="shared" si="5"/>
        <v>0</v>
      </c>
      <c r="D47">
        <f t="shared" si="6"/>
        <v>0</v>
      </c>
      <c r="E47" s="64">
        <f t="shared" si="7"/>
        <v>0</v>
      </c>
      <c r="F47" s="63">
        <f t="shared" si="8"/>
        <v>45</v>
      </c>
      <c r="G47">
        <f t="shared" si="9"/>
        <v>14.460422113338447</v>
      </c>
      <c r="H47">
        <f t="shared" si="10"/>
        <v>1.1713053130148048E-2</v>
      </c>
      <c r="I47" s="64">
        <f t="shared" si="11"/>
        <v>0.38653075329488557</v>
      </c>
      <c r="J47" s="63">
        <f t="shared" si="12"/>
        <v>20</v>
      </c>
      <c r="K47">
        <f t="shared" si="13"/>
        <v>6.4268542725948654</v>
      </c>
      <c r="L47">
        <f t="shared" si="14"/>
        <v>9.9154490215829956E-3</v>
      </c>
      <c r="M47" s="64">
        <f t="shared" si="15"/>
        <v>0.32720981771223884</v>
      </c>
      <c r="N47" s="63">
        <f t="shared" si="16"/>
        <v>20</v>
      </c>
      <c r="O47">
        <f t="shared" si="17"/>
        <v>8.8540595323869749</v>
      </c>
      <c r="P47">
        <f t="shared" si="18"/>
        <v>1.0317150759928083E-2</v>
      </c>
      <c r="Q47" s="64">
        <f t="shared" si="19"/>
        <v>0.34046597507762671</v>
      </c>
    </row>
    <row r="48" spans="1:17" x14ac:dyDescent="0.2">
      <c r="A48" s="62">
        <v>34</v>
      </c>
      <c r="B48" s="63">
        <f t="shared" si="4"/>
        <v>0</v>
      </c>
      <c r="C48">
        <f t="shared" si="5"/>
        <v>0</v>
      </c>
      <c r="D48">
        <f t="shared" si="6"/>
        <v>0</v>
      </c>
      <c r="E48" s="64">
        <f t="shared" si="7"/>
        <v>0</v>
      </c>
      <c r="F48" s="63">
        <f t="shared" si="8"/>
        <v>45</v>
      </c>
      <c r="G48">
        <f t="shared" si="9"/>
        <v>13.97142233172797</v>
      </c>
      <c r="H48">
        <f t="shared" si="10"/>
        <v>1.1316959546036762E-2</v>
      </c>
      <c r="I48" s="64">
        <f t="shared" si="11"/>
        <v>0.38477662456524991</v>
      </c>
      <c r="J48" s="63">
        <f t="shared" si="12"/>
        <v>20</v>
      </c>
      <c r="K48">
        <f t="shared" si="13"/>
        <v>6.209521036323542</v>
      </c>
      <c r="L48">
        <f t="shared" si="14"/>
        <v>9.5801439822057952E-3</v>
      </c>
      <c r="M48" s="64">
        <f t="shared" si="15"/>
        <v>0.32572489539499705</v>
      </c>
      <c r="N48" s="63">
        <f t="shared" si="16"/>
        <v>20</v>
      </c>
      <c r="O48">
        <f t="shared" si="17"/>
        <v>8.6381068608653404</v>
      </c>
      <c r="P48">
        <f t="shared" si="18"/>
        <v>1.0065512936515201E-2</v>
      </c>
      <c r="Q48" s="64">
        <f t="shared" si="19"/>
        <v>0.34222743984151682</v>
      </c>
    </row>
    <row r="49" spans="1:17" x14ac:dyDescent="0.2">
      <c r="A49" s="62">
        <v>35</v>
      </c>
      <c r="B49" s="63">
        <f t="shared" si="4"/>
        <v>0</v>
      </c>
      <c r="C49">
        <f t="shared" si="5"/>
        <v>0</v>
      </c>
      <c r="D49">
        <f t="shared" si="6"/>
        <v>0</v>
      </c>
      <c r="E49" s="64">
        <f t="shared" si="7"/>
        <v>0</v>
      </c>
      <c r="F49" s="63">
        <f t="shared" si="8"/>
        <v>45</v>
      </c>
      <c r="G49">
        <f t="shared" si="9"/>
        <v>13.498958774616398</v>
      </c>
      <c r="H49">
        <f t="shared" si="10"/>
        <v>1.0934260430953396E-2</v>
      </c>
      <c r="I49" s="64">
        <f t="shared" si="11"/>
        <v>0.38269911508336885</v>
      </c>
      <c r="J49" s="63">
        <f t="shared" si="12"/>
        <v>20</v>
      </c>
      <c r="K49">
        <f t="shared" si="13"/>
        <v>5.9995372331628429</v>
      </c>
      <c r="L49">
        <f t="shared" si="14"/>
        <v>9.2561777605853091E-3</v>
      </c>
      <c r="M49" s="64">
        <f t="shared" si="15"/>
        <v>0.32396622162048583</v>
      </c>
      <c r="N49" s="63">
        <f t="shared" si="16"/>
        <v>20</v>
      </c>
      <c r="O49">
        <f t="shared" si="17"/>
        <v>8.427421327673505</v>
      </c>
      <c r="P49">
        <f t="shared" si="18"/>
        <v>9.8200126209904426E-3</v>
      </c>
      <c r="Q49" s="64">
        <f t="shared" si="19"/>
        <v>0.34370044173466552</v>
      </c>
    </row>
    <row r="50" spans="1:17" x14ac:dyDescent="0.2">
      <c r="A50" s="62">
        <v>36</v>
      </c>
      <c r="B50" s="63">
        <f t="shared" si="4"/>
        <v>0</v>
      </c>
      <c r="C50">
        <f t="shared" si="5"/>
        <v>0</v>
      </c>
      <c r="D50">
        <f t="shared" si="6"/>
        <v>0</v>
      </c>
      <c r="E50" s="64">
        <f t="shared" si="7"/>
        <v>0</v>
      </c>
      <c r="F50" s="63">
        <f t="shared" si="8"/>
        <v>45</v>
      </c>
      <c r="G50">
        <f t="shared" si="9"/>
        <v>13.042472246006181</v>
      </c>
      <c r="H50">
        <f t="shared" si="10"/>
        <v>1.056450283183903E-2</v>
      </c>
      <c r="I50" s="64">
        <f t="shared" si="11"/>
        <v>0.38032210194620508</v>
      </c>
      <c r="J50" s="63">
        <f t="shared" si="12"/>
        <v>20</v>
      </c>
      <c r="K50">
        <f t="shared" si="13"/>
        <v>5.7966543315583028</v>
      </c>
      <c r="L50">
        <f t="shared" si="14"/>
        <v>8.9431669184399133E-3</v>
      </c>
      <c r="M50" s="64">
        <f t="shared" si="15"/>
        <v>0.32195400906383687</v>
      </c>
      <c r="N50" s="63">
        <f t="shared" si="16"/>
        <v>20</v>
      </c>
      <c r="O50">
        <f t="shared" si="17"/>
        <v>8.2218744660229302</v>
      </c>
      <c r="P50">
        <f t="shared" si="18"/>
        <v>9.5805001180394554E-3</v>
      </c>
      <c r="Q50" s="64">
        <f t="shared" si="19"/>
        <v>0.34489800424942041</v>
      </c>
    </row>
    <row r="51" spans="1:17" x14ac:dyDescent="0.2">
      <c r="A51" s="62">
        <v>37</v>
      </c>
      <c r="B51" s="63">
        <f t="shared" si="4"/>
        <v>0</v>
      </c>
      <c r="C51">
        <f t="shared" si="5"/>
        <v>0</v>
      </c>
      <c r="D51">
        <f t="shared" si="6"/>
        <v>0</v>
      </c>
      <c r="E51" s="64">
        <f t="shared" si="7"/>
        <v>0</v>
      </c>
      <c r="F51" s="63">
        <f t="shared" si="8"/>
        <v>45</v>
      </c>
      <c r="G51">
        <f t="shared" si="9"/>
        <v>12.601422459909355</v>
      </c>
      <c r="H51">
        <f t="shared" si="10"/>
        <v>1.0207249112887952E-2</v>
      </c>
      <c r="I51" s="64">
        <f t="shared" si="11"/>
        <v>0.37766821717685423</v>
      </c>
      <c r="J51" s="63">
        <f t="shared" si="12"/>
        <v>20</v>
      </c>
      <c r="K51">
        <f t="shared" si="13"/>
        <v>5.6006322044041577</v>
      </c>
      <c r="L51">
        <f t="shared" si="14"/>
        <v>8.6407409839999172E-3</v>
      </c>
      <c r="M51" s="64">
        <f t="shared" si="15"/>
        <v>0.31970741640799694</v>
      </c>
      <c r="N51" s="63">
        <f t="shared" si="16"/>
        <v>20</v>
      </c>
      <c r="O51">
        <f t="shared" si="17"/>
        <v>8.0213409424613964</v>
      </c>
      <c r="P51">
        <f t="shared" si="18"/>
        <v>9.3468293834531278E-3</v>
      </c>
      <c r="Q51" s="64">
        <f t="shared" si="19"/>
        <v>0.34583268718776572</v>
      </c>
    </row>
    <row r="52" spans="1:17" x14ac:dyDescent="0.2">
      <c r="A52" s="62">
        <v>38</v>
      </c>
      <c r="B52" s="63">
        <f t="shared" si="4"/>
        <v>0</v>
      </c>
      <c r="C52">
        <f t="shared" si="5"/>
        <v>0</v>
      </c>
      <c r="D52">
        <f t="shared" si="6"/>
        <v>0</v>
      </c>
      <c r="E52" s="64">
        <f t="shared" si="7"/>
        <v>0</v>
      </c>
      <c r="F52" s="63">
        <f t="shared" si="8"/>
        <v>45</v>
      </c>
      <c r="G52">
        <f t="shared" si="9"/>
        <v>12.175287400878604</v>
      </c>
      <c r="H52">
        <f t="shared" si="10"/>
        <v>9.8620764375729007E-3</v>
      </c>
      <c r="I52" s="64">
        <f t="shared" si="11"/>
        <v>0.37475890462777023</v>
      </c>
      <c r="J52" s="63">
        <f t="shared" si="12"/>
        <v>20</v>
      </c>
      <c r="K52">
        <f t="shared" si="13"/>
        <v>5.4112388448349344</v>
      </c>
      <c r="L52">
        <f t="shared" si="14"/>
        <v>8.3485420135264877E-3</v>
      </c>
      <c r="M52" s="64">
        <f t="shared" si="15"/>
        <v>0.31724459651400655</v>
      </c>
      <c r="N52" s="63">
        <f t="shared" si="16"/>
        <v>20</v>
      </c>
      <c r="O52">
        <f t="shared" si="17"/>
        <v>7.8256984804501446</v>
      </c>
      <c r="P52">
        <f t="shared" si="18"/>
        <v>9.1188579350762241E-3</v>
      </c>
      <c r="Q52" s="64">
        <f t="shared" si="19"/>
        <v>0.34651660153289654</v>
      </c>
    </row>
    <row r="53" spans="1:17" x14ac:dyDescent="0.2">
      <c r="A53" s="62">
        <v>39</v>
      </c>
      <c r="B53" s="63">
        <f t="shared" si="4"/>
        <v>0</v>
      </c>
      <c r="C53">
        <f t="shared" si="5"/>
        <v>0</v>
      </c>
      <c r="D53">
        <f t="shared" si="6"/>
        <v>0</v>
      </c>
      <c r="E53" s="64">
        <f t="shared" si="7"/>
        <v>0</v>
      </c>
      <c r="F53" s="63">
        <f t="shared" si="8"/>
        <v>45</v>
      </c>
      <c r="G53">
        <f t="shared" si="9"/>
        <v>11.763562706162904</v>
      </c>
      <c r="H53">
        <f t="shared" si="10"/>
        <v>9.5285762681863798E-3</v>
      </c>
      <c r="I53" s="64">
        <f t="shared" si="11"/>
        <v>0.37161447445926882</v>
      </c>
      <c r="J53" s="63">
        <f t="shared" si="12"/>
        <v>20</v>
      </c>
      <c r="K53">
        <f t="shared" si="13"/>
        <v>5.2282500916279568</v>
      </c>
      <c r="L53">
        <f t="shared" si="14"/>
        <v>8.0662241676584447E-3</v>
      </c>
      <c r="M53" s="64">
        <f t="shared" si="15"/>
        <v>0.31458274253867935</v>
      </c>
      <c r="N53" s="63">
        <f t="shared" si="16"/>
        <v>20</v>
      </c>
      <c r="O53">
        <f t="shared" si="17"/>
        <v>7.6348277858050189</v>
      </c>
      <c r="P53">
        <f t="shared" si="18"/>
        <v>8.896446765928023E-3</v>
      </c>
      <c r="Q53" s="64">
        <f t="shared" si="19"/>
        <v>0.34696142387119289</v>
      </c>
    </row>
    <row r="54" spans="1:17" x14ac:dyDescent="0.2">
      <c r="A54" s="62">
        <v>40</v>
      </c>
      <c r="B54" s="63">
        <f t="shared" si="4"/>
        <v>0</v>
      </c>
      <c r="C54">
        <f t="shared" si="5"/>
        <v>0</v>
      </c>
      <c r="D54">
        <f t="shared" si="6"/>
        <v>0</v>
      </c>
      <c r="E54" s="64">
        <f t="shared" si="7"/>
        <v>0</v>
      </c>
      <c r="F54" s="63">
        <f t="shared" si="8"/>
        <v>45</v>
      </c>
      <c r="G54">
        <f t="shared" si="9"/>
        <v>11.365761068756431</v>
      </c>
      <c r="H54">
        <f t="shared" si="10"/>
        <v>9.2063538823056821E-3</v>
      </c>
      <c r="I54" s="64">
        <f t="shared" si="11"/>
        <v>0.36825415529222727</v>
      </c>
      <c r="J54" s="63">
        <f t="shared" si="12"/>
        <v>20</v>
      </c>
      <c r="K54">
        <f t="shared" si="13"/>
        <v>5.0514493638917468</v>
      </c>
      <c r="L54">
        <f t="shared" si="14"/>
        <v>7.7934533020854553E-3</v>
      </c>
      <c r="M54" s="64">
        <f t="shared" si="15"/>
        <v>0.31173813208341822</v>
      </c>
      <c r="N54" s="63">
        <f t="shared" si="16"/>
        <v>20</v>
      </c>
      <c r="O54">
        <f t="shared" si="17"/>
        <v>7.4486124739561168</v>
      </c>
      <c r="P54">
        <f t="shared" si="18"/>
        <v>8.6794602594419748E-3</v>
      </c>
      <c r="Q54" s="64">
        <f t="shared" si="19"/>
        <v>0.34717841037767899</v>
      </c>
    </row>
    <row r="55" spans="1:17" x14ac:dyDescent="0.2">
      <c r="A55" s="62">
        <v>41</v>
      </c>
      <c r="B55" s="63">
        <f t="shared" si="4"/>
        <v>0</v>
      </c>
      <c r="C55">
        <f t="shared" si="5"/>
        <v>0</v>
      </c>
      <c r="D55">
        <f t="shared" si="6"/>
        <v>0</v>
      </c>
      <c r="E55" s="64">
        <f t="shared" si="7"/>
        <v>0</v>
      </c>
      <c r="F55" s="63">
        <f t="shared" si="8"/>
        <v>45</v>
      </c>
      <c r="G55">
        <f t="shared" si="9"/>
        <v>10.981411660634235</v>
      </c>
      <c r="H55">
        <f t="shared" si="10"/>
        <v>8.8950279056093564E-3</v>
      </c>
      <c r="I55" s="64">
        <f t="shared" si="11"/>
        <v>0.36469614412998363</v>
      </c>
      <c r="J55" s="63">
        <f t="shared" si="12"/>
        <v>20</v>
      </c>
      <c r="K55">
        <f t="shared" si="13"/>
        <v>4.8806274047263267</v>
      </c>
      <c r="L55">
        <f t="shared" si="14"/>
        <v>7.5299065720632434E-3</v>
      </c>
      <c r="M55" s="64">
        <f t="shared" si="15"/>
        <v>0.30872616945459297</v>
      </c>
      <c r="N55" s="63">
        <f t="shared" si="16"/>
        <v>20</v>
      </c>
      <c r="O55">
        <f t="shared" si="17"/>
        <v>7.2669389989815771</v>
      </c>
      <c r="P55">
        <f t="shared" si="18"/>
        <v>8.4677661067726583E-3</v>
      </c>
      <c r="Q55" s="64">
        <f t="shared" si="19"/>
        <v>0.34717841037767899</v>
      </c>
    </row>
    <row r="56" spans="1:17" x14ac:dyDescent="0.2">
      <c r="A56" s="62">
        <v>42</v>
      </c>
      <c r="B56" s="63">
        <f t="shared" si="4"/>
        <v>0</v>
      </c>
      <c r="C56">
        <f t="shared" si="5"/>
        <v>0</v>
      </c>
      <c r="D56">
        <f t="shared" si="6"/>
        <v>0</v>
      </c>
      <c r="E56" s="64">
        <f t="shared" si="7"/>
        <v>0</v>
      </c>
      <c r="F56" s="63">
        <f t="shared" si="8"/>
        <v>45</v>
      </c>
      <c r="G56">
        <f t="shared" si="9"/>
        <v>10.610059575492015</v>
      </c>
      <c r="H56">
        <f t="shared" si="10"/>
        <v>8.5942298604921308E-3</v>
      </c>
      <c r="I56" s="64">
        <f t="shared" si="11"/>
        <v>0.36095765414066949</v>
      </c>
      <c r="J56" s="63">
        <f t="shared" si="12"/>
        <v>20</v>
      </c>
      <c r="K56">
        <f t="shared" si="13"/>
        <v>4.715582033552006</v>
      </c>
      <c r="L56">
        <f t="shared" si="14"/>
        <v>7.2752720503026502E-3</v>
      </c>
      <c r="M56" s="64">
        <f t="shared" si="15"/>
        <v>0.30556142611271131</v>
      </c>
      <c r="N56" s="63">
        <f t="shared" si="16"/>
        <v>20</v>
      </c>
      <c r="O56">
        <f t="shared" si="17"/>
        <v>7.0896965843722706</v>
      </c>
      <c r="P56">
        <f t="shared" si="18"/>
        <v>8.2612352261196668E-3</v>
      </c>
      <c r="Q56" s="64">
        <f t="shared" si="19"/>
        <v>0.34697187949702601</v>
      </c>
    </row>
    <row r="57" spans="1:17" x14ac:dyDescent="0.2">
      <c r="A57" s="62">
        <v>43</v>
      </c>
      <c r="B57" s="63">
        <f t="shared" si="4"/>
        <v>0</v>
      </c>
      <c r="C57">
        <f t="shared" si="5"/>
        <v>0</v>
      </c>
      <c r="D57">
        <f t="shared" si="6"/>
        <v>0</v>
      </c>
      <c r="E57" s="64">
        <f t="shared" si="7"/>
        <v>0</v>
      </c>
      <c r="F57" s="63">
        <f t="shared" si="8"/>
        <v>45</v>
      </c>
      <c r="G57">
        <f t="shared" si="9"/>
        <v>10.251265290330448</v>
      </c>
      <c r="H57">
        <f t="shared" si="10"/>
        <v>8.3036037299440875E-3</v>
      </c>
      <c r="I57" s="64">
        <f t="shared" si="11"/>
        <v>0.35705496038759577</v>
      </c>
      <c r="J57" s="63">
        <f t="shared" si="12"/>
        <v>20</v>
      </c>
      <c r="K57">
        <f t="shared" si="13"/>
        <v>4.5561179068135322</v>
      </c>
      <c r="L57">
        <f t="shared" si="14"/>
        <v>7.0292483577803384E-3</v>
      </c>
      <c r="M57" s="64">
        <f t="shared" si="15"/>
        <v>0.30225767938455456</v>
      </c>
      <c r="N57" s="63">
        <f t="shared" si="16"/>
        <v>20</v>
      </c>
      <c r="O57">
        <f t="shared" si="17"/>
        <v>6.9167771554851418</v>
      </c>
      <c r="P57">
        <f t="shared" si="18"/>
        <v>8.0597416840191873E-3</v>
      </c>
      <c r="Q57" s="64">
        <f t="shared" si="19"/>
        <v>0.34656889241282507</v>
      </c>
    </row>
    <row r="58" spans="1:17" x14ac:dyDescent="0.2">
      <c r="A58" s="62">
        <v>44</v>
      </c>
      <c r="B58" s="63">
        <f t="shared" si="4"/>
        <v>0</v>
      </c>
      <c r="C58">
        <f t="shared" si="5"/>
        <v>0</v>
      </c>
      <c r="D58">
        <f t="shared" si="6"/>
        <v>0</v>
      </c>
      <c r="E58" s="64">
        <f t="shared" si="7"/>
        <v>0</v>
      </c>
      <c r="F58" s="63">
        <f t="shared" si="8"/>
        <v>45</v>
      </c>
      <c r="G58">
        <f t="shared" si="9"/>
        <v>9.904604145246811</v>
      </c>
      <c r="H58">
        <f t="shared" si="10"/>
        <v>8.0228055361778634E-3</v>
      </c>
      <c r="I58" s="64">
        <f t="shared" si="11"/>
        <v>0.353003443591826</v>
      </c>
      <c r="J58" s="63">
        <f t="shared" si="12"/>
        <v>20</v>
      </c>
      <c r="K58">
        <f t="shared" si="13"/>
        <v>4.4020462867763603</v>
      </c>
      <c r="L58">
        <f t="shared" si="14"/>
        <v>6.7915443070341438E-3</v>
      </c>
      <c r="M58" s="64">
        <f t="shared" si="15"/>
        <v>0.29882794950950231</v>
      </c>
      <c r="N58" s="63">
        <f t="shared" si="16"/>
        <v>20</v>
      </c>
      <c r="O58">
        <f t="shared" si="17"/>
        <v>6.7480752736440426</v>
      </c>
      <c r="P58">
        <f t="shared" si="18"/>
        <v>7.8631626185553059E-3</v>
      </c>
      <c r="Q58" s="64">
        <f t="shared" si="19"/>
        <v>0.34597915521643346</v>
      </c>
    </row>
    <row r="59" spans="1:17" x14ac:dyDescent="0.2">
      <c r="A59" s="62">
        <v>45</v>
      </c>
      <c r="B59" s="63">
        <f t="shared" si="4"/>
        <v>0</v>
      </c>
      <c r="C59">
        <f t="shared" si="5"/>
        <v>0</v>
      </c>
      <c r="D59">
        <f t="shared" si="6"/>
        <v>0</v>
      </c>
      <c r="E59" s="64">
        <f t="shared" si="7"/>
        <v>0</v>
      </c>
      <c r="F59" s="63">
        <f t="shared" si="8"/>
        <v>45</v>
      </c>
      <c r="G59">
        <f t="shared" si="9"/>
        <v>9.5696658408181747</v>
      </c>
      <c r="H59">
        <f t="shared" si="10"/>
        <v>7.7515029335051824E-3</v>
      </c>
      <c r="I59" s="64">
        <f t="shared" si="11"/>
        <v>0.34881763200773319</v>
      </c>
      <c r="J59" s="63">
        <f t="shared" si="12"/>
        <v>20</v>
      </c>
      <c r="K59">
        <f t="shared" si="13"/>
        <v>4.2531848181414116</v>
      </c>
      <c r="L59">
        <f t="shared" si="14"/>
        <v>6.5618785575209133E-3</v>
      </c>
      <c r="M59" s="64">
        <f t="shared" si="15"/>
        <v>0.2952845350884411</v>
      </c>
      <c r="N59" s="63">
        <f t="shared" si="16"/>
        <v>20</v>
      </c>
      <c r="O59">
        <f t="shared" si="17"/>
        <v>6.5834880718478459</v>
      </c>
      <c r="P59">
        <f t="shared" si="18"/>
        <v>7.6713781644442008E-3</v>
      </c>
      <c r="Q59" s="64">
        <f t="shared" si="19"/>
        <v>0.34521201739998902</v>
      </c>
    </row>
    <row r="60" spans="1:17" x14ac:dyDescent="0.2">
      <c r="A60" s="62">
        <v>46</v>
      </c>
      <c r="B60" s="63">
        <f t="shared" si="4"/>
        <v>0</v>
      </c>
      <c r="C60">
        <f t="shared" si="5"/>
        <v>0</v>
      </c>
      <c r="D60">
        <f t="shared" si="6"/>
        <v>0</v>
      </c>
      <c r="E60" s="64">
        <f t="shared" si="7"/>
        <v>0</v>
      </c>
      <c r="F60" s="63">
        <f t="shared" si="8"/>
        <v>45</v>
      </c>
      <c r="G60">
        <f t="shared" si="9"/>
        <v>9.2460539524813274</v>
      </c>
      <c r="H60">
        <f t="shared" si="10"/>
        <v>7.4893748149808519E-3</v>
      </c>
      <c r="I60" s="64">
        <f t="shared" si="11"/>
        <v>0.34451124148911921</v>
      </c>
      <c r="J60" s="63">
        <f t="shared" si="12"/>
        <v>20</v>
      </c>
      <c r="K60">
        <f t="shared" si="13"/>
        <v>4.1093573122139233</v>
      </c>
      <c r="L60">
        <f t="shared" si="14"/>
        <v>6.3399792826289002E-3</v>
      </c>
      <c r="M60" s="64">
        <f t="shared" si="15"/>
        <v>0.29163904700092941</v>
      </c>
      <c r="N60" s="63">
        <f t="shared" si="16"/>
        <v>20</v>
      </c>
      <c r="O60">
        <f t="shared" si="17"/>
        <v>6.4229151920466805</v>
      </c>
      <c r="P60">
        <f t="shared" si="18"/>
        <v>7.4842713799455635E-3</v>
      </c>
      <c r="Q60" s="64">
        <f t="shared" si="19"/>
        <v>0.3442764834774959</v>
      </c>
    </row>
    <row r="61" spans="1:17" x14ac:dyDescent="0.2">
      <c r="A61" s="62">
        <v>47</v>
      </c>
      <c r="B61" s="63">
        <f t="shared" si="4"/>
        <v>0</v>
      </c>
      <c r="C61">
        <f t="shared" si="5"/>
        <v>0</v>
      </c>
      <c r="D61">
        <f t="shared" si="6"/>
        <v>0</v>
      </c>
      <c r="E61" s="64">
        <f t="shared" si="7"/>
        <v>0</v>
      </c>
      <c r="F61" s="63">
        <f t="shared" si="8"/>
        <v>45</v>
      </c>
      <c r="G61">
        <f t="shared" si="9"/>
        <v>8.933385461334618</v>
      </c>
      <c r="H61">
        <f t="shared" si="10"/>
        <v>7.2361109323486501E-3</v>
      </c>
      <c r="I61" s="64">
        <f t="shared" si="11"/>
        <v>0.34009721382038655</v>
      </c>
      <c r="J61" s="63">
        <f t="shared" si="12"/>
        <v>20</v>
      </c>
      <c r="K61">
        <f t="shared" si="13"/>
        <v>3.9703935383709417</v>
      </c>
      <c r="L61">
        <f t="shared" si="14"/>
        <v>6.1255838479506303E-3</v>
      </c>
      <c r="M61" s="64">
        <f t="shared" si="15"/>
        <v>0.28790244085367961</v>
      </c>
      <c r="N61" s="63">
        <f t="shared" si="16"/>
        <v>20</v>
      </c>
      <c r="O61">
        <f t="shared" si="17"/>
        <v>6.2662587239479794</v>
      </c>
      <c r="P61">
        <f t="shared" si="18"/>
        <v>7.301728175556646E-3</v>
      </c>
      <c r="Q61" s="64">
        <f t="shared" si="19"/>
        <v>0.34318122425116238</v>
      </c>
    </row>
    <row r="62" spans="1:17" x14ac:dyDescent="0.2">
      <c r="A62" s="62">
        <v>48</v>
      </c>
      <c r="B62" s="63">
        <f t="shared" si="4"/>
        <v>0</v>
      </c>
      <c r="C62">
        <f t="shared" si="5"/>
        <v>0</v>
      </c>
      <c r="D62">
        <f t="shared" si="6"/>
        <v>0</v>
      </c>
      <c r="E62" s="64">
        <f t="shared" si="7"/>
        <v>0</v>
      </c>
      <c r="F62" s="63">
        <f t="shared" si="8"/>
        <v>45</v>
      </c>
      <c r="G62">
        <f t="shared" si="9"/>
        <v>8.6312903008063966</v>
      </c>
      <c r="H62">
        <f t="shared" si="10"/>
        <v>6.9914115288392783E-3</v>
      </c>
      <c r="I62" s="64">
        <f t="shared" si="11"/>
        <v>0.33558775338428537</v>
      </c>
      <c r="J62" s="63">
        <f t="shared" si="12"/>
        <v>20</v>
      </c>
      <c r="K62">
        <f t="shared" si="13"/>
        <v>3.8361290225806206</v>
      </c>
      <c r="L62">
        <f t="shared" si="14"/>
        <v>5.9184385004353926E-3</v>
      </c>
      <c r="M62" s="64">
        <f t="shared" si="15"/>
        <v>0.28408504802089884</v>
      </c>
      <c r="N62" s="63">
        <f t="shared" si="16"/>
        <v>20</v>
      </c>
      <c r="O62">
        <f t="shared" si="17"/>
        <v>6.1134231453151031</v>
      </c>
      <c r="P62">
        <f t="shared" si="18"/>
        <v>7.1236372444455093E-3</v>
      </c>
      <c r="Q62" s="64">
        <f t="shared" si="19"/>
        <v>0.34193458773338448</v>
      </c>
    </row>
    <row r="63" spans="1:17" x14ac:dyDescent="0.2">
      <c r="A63" s="62">
        <v>49</v>
      </c>
      <c r="B63" s="63">
        <f t="shared" si="4"/>
        <v>0</v>
      </c>
      <c r="C63">
        <f t="shared" si="5"/>
        <v>0</v>
      </c>
      <c r="D63">
        <f t="shared" si="6"/>
        <v>0</v>
      </c>
      <c r="E63" s="64">
        <f t="shared" si="7"/>
        <v>0</v>
      </c>
      <c r="F63" s="63">
        <f t="shared" si="8"/>
        <v>45</v>
      </c>
      <c r="G63">
        <f t="shared" si="9"/>
        <v>8.3394109186535239</v>
      </c>
      <c r="H63">
        <f t="shared" si="10"/>
        <v>6.7549869843857762E-3</v>
      </c>
      <c r="I63" s="64">
        <f t="shared" si="11"/>
        <v>0.33099436223490303</v>
      </c>
      <c r="J63" s="63">
        <f t="shared" si="12"/>
        <v>20</v>
      </c>
      <c r="K63">
        <f t="shared" si="13"/>
        <v>3.7064048527348996</v>
      </c>
      <c r="L63">
        <f t="shared" si="14"/>
        <v>5.7182980680535204E-3</v>
      </c>
      <c r="M63" s="64">
        <f t="shared" si="15"/>
        <v>0.28019660533462248</v>
      </c>
      <c r="N63" s="63">
        <f t="shared" si="16"/>
        <v>20</v>
      </c>
      <c r="O63">
        <f t="shared" si="17"/>
        <v>5.9643152637220522</v>
      </c>
      <c r="P63">
        <f t="shared" si="18"/>
        <v>6.9498899945809852E-3</v>
      </c>
      <c r="Q63" s="64">
        <f t="shared" si="19"/>
        <v>0.34054460973446826</v>
      </c>
    </row>
    <row r="64" spans="1:17" x14ac:dyDescent="0.2">
      <c r="A64" s="62">
        <v>50</v>
      </c>
      <c r="B64" s="63">
        <f t="shared" si="4"/>
        <v>0</v>
      </c>
      <c r="C64">
        <f t="shared" si="5"/>
        <v>0</v>
      </c>
      <c r="D64">
        <f t="shared" si="6"/>
        <v>0</v>
      </c>
      <c r="E64" s="64">
        <f t="shared" si="7"/>
        <v>0</v>
      </c>
      <c r="F64" s="63">
        <f t="shared" si="8"/>
        <v>1045</v>
      </c>
      <c r="G64">
        <f t="shared" si="9"/>
        <v>187.11077638202755</v>
      </c>
      <c r="H64">
        <f t="shared" si="10"/>
        <v>0.15156116798031427</v>
      </c>
      <c r="I64" s="64">
        <f t="shared" si="11"/>
        <v>7.5780583990157133</v>
      </c>
      <c r="J64" s="63">
        <f t="shared" si="12"/>
        <v>1020</v>
      </c>
      <c r="K64">
        <f t="shared" si="13"/>
        <v>182.63444201882115</v>
      </c>
      <c r="L64">
        <f t="shared" si="14"/>
        <v>0.28177120915046333</v>
      </c>
      <c r="M64" s="64">
        <f t="shared" si="15"/>
        <v>14.088560457523167</v>
      </c>
      <c r="N64" s="63">
        <f t="shared" si="16"/>
        <v>1020</v>
      </c>
      <c r="O64">
        <f t="shared" si="17"/>
        <v>296.76105214617041</v>
      </c>
      <c r="P64">
        <f t="shared" si="18"/>
        <v>0.34579940460841979</v>
      </c>
      <c r="Q64" s="64">
        <f t="shared" si="19"/>
        <v>17.289970230420991</v>
      </c>
    </row>
    <row r="65" spans="1:17" x14ac:dyDescent="0.2">
      <c r="A65" s="62">
        <v>51</v>
      </c>
      <c r="B65" s="63">
        <f t="shared" si="4"/>
        <v>0</v>
      </c>
      <c r="C65">
        <f t="shared" si="5"/>
        <v>0</v>
      </c>
      <c r="D65">
        <f t="shared" si="6"/>
        <v>0</v>
      </c>
      <c r="E65" s="64">
        <f t="shared" si="7"/>
        <v>0</v>
      </c>
      <c r="F65" s="63">
        <f t="shared" si="8"/>
        <v>0</v>
      </c>
      <c r="G65">
        <f t="shared" si="9"/>
        <v>0</v>
      </c>
      <c r="H65">
        <f t="shared" si="10"/>
        <v>0</v>
      </c>
      <c r="I65" s="64">
        <f t="shared" si="11"/>
        <v>0</v>
      </c>
      <c r="J65" s="63">
        <f t="shared" si="12"/>
        <v>0</v>
      </c>
      <c r="K65">
        <f t="shared" si="13"/>
        <v>0</v>
      </c>
      <c r="L65">
        <f t="shared" si="14"/>
        <v>0</v>
      </c>
      <c r="M65" s="64">
        <f t="shared" si="15"/>
        <v>0</v>
      </c>
      <c r="N65" s="63">
        <f t="shared" si="16"/>
        <v>0</v>
      </c>
      <c r="O65">
        <f t="shared" si="17"/>
        <v>0</v>
      </c>
      <c r="P65">
        <f t="shared" si="18"/>
        <v>0</v>
      </c>
      <c r="Q65" s="64">
        <f t="shared" si="19"/>
        <v>0</v>
      </c>
    </row>
    <row r="66" spans="1:17" x14ac:dyDescent="0.2">
      <c r="A66" s="62">
        <v>52</v>
      </c>
      <c r="B66" s="63">
        <f t="shared" si="4"/>
        <v>0</v>
      </c>
      <c r="C66">
        <f t="shared" si="5"/>
        <v>0</v>
      </c>
      <c r="D66">
        <f t="shared" si="6"/>
        <v>0</v>
      </c>
      <c r="E66" s="64">
        <f t="shared" si="7"/>
        <v>0</v>
      </c>
      <c r="F66" s="63">
        <f t="shared" si="8"/>
        <v>0</v>
      </c>
      <c r="G66">
        <f t="shared" si="9"/>
        <v>0</v>
      </c>
      <c r="H66">
        <f t="shared" si="10"/>
        <v>0</v>
      </c>
      <c r="I66" s="64">
        <f t="shared" si="11"/>
        <v>0</v>
      </c>
      <c r="J66" s="63">
        <f t="shared" si="12"/>
        <v>0</v>
      </c>
      <c r="K66">
        <f t="shared" si="13"/>
        <v>0</v>
      </c>
      <c r="L66">
        <f t="shared" si="14"/>
        <v>0</v>
      </c>
      <c r="M66" s="64">
        <f t="shared" si="15"/>
        <v>0</v>
      </c>
      <c r="N66" s="63">
        <f t="shared" si="16"/>
        <v>0</v>
      </c>
      <c r="O66">
        <f t="shared" si="17"/>
        <v>0</v>
      </c>
      <c r="P66">
        <f t="shared" si="18"/>
        <v>0</v>
      </c>
      <c r="Q66" s="64">
        <f t="shared" si="19"/>
        <v>0</v>
      </c>
    </row>
    <row r="67" spans="1:17" x14ac:dyDescent="0.2">
      <c r="A67" s="62">
        <v>53</v>
      </c>
      <c r="B67" s="63">
        <f t="shared" si="4"/>
        <v>0</v>
      </c>
      <c r="C67">
        <f t="shared" si="5"/>
        <v>0</v>
      </c>
      <c r="D67">
        <f t="shared" si="6"/>
        <v>0</v>
      </c>
      <c r="E67" s="64">
        <f t="shared" si="7"/>
        <v>0</v>
      </c>
      <c r="F67" s="63">
        <f t="shared" si="8"/>
        <v>0</v>
      </c>
      <c r="G67">
        <f t="shared" si="9"/>
        <v>0</v>
      </c>
      <c r="H67">
        <f t="shared" si="10"/>
        <v>0</v>
      </c>
      <c r="I67" s="64">
        <f t="shared" si="11"/>
        <v>0</v>
      </c>
      <c r="J67" s="63">
        <f t="shared" si="12"/>
        <v>0</v>
      </c>
      <c r="K67">
        <f t="shared" si="13"/>
        <v>0</v>
      </c>
      <c r="L67">
        <f t="shared" si="14"/>
        <v>0</v>
      </c>
      <c r="M67" s="64">
        <f t="shared" si="15"/>
        <v>0</v>
      </c>
      <c r="N67" s="63">
        <f t="shared" si="16"/>
        <v>0</v>
      </c>
      <c r="O67">
        <f t="shared" si="17"/>
        <v>0</v>
      </c>
      <c r="P67">
        <f t="shared" si="18"/>
        <v>0</v>
      </c>
      <c r="Q67" s="64">
        <f t="shared" si="19"/>
        <v>0</v>
      </c>
    </row>
    <row r="68" spans="1:17" x14ac:dyDescent="0.2">
      <c r="A68" s="62">
        <v>54</v>
      </c>
      <c r="B68" s="63">
        <f t="shared" si="4"/>
        <v>0</v>
      </c>
      <c r="C68">
        <f t="shared" si="5"/>
        <v>0</v>
      </c>
      <c r="D68">
        <f t="shared" si="6"/>
        <v>0</v>
      </c>
      <c r="E68" s="64">
        <f t="shared" si="7"/>
        <v>0</v>
      </c>
      <c r="F68" s="63">
        <f t="shared" si="8"/>
        <v>0</v>
      </c>
      <c r="G68">
        <f t="shared" si="9"/>
        <v>0</v>
      </c>
      <c r="H68">
        <f t="shared" si="10"/>
        <v>0</v>
      </c>
      <c r="I68" s="64">
        <f t="shared" si="11"/>
        <v>0</v>
      </c>
      <c r="J68" s="63">
        <f t="shared" si="12"/>
        <v>0</v>
      </c>
      <c r="K68">
        <f t="shared" si="13"/>
        <v>0</v>
      </c>
      <c r="L68">
        <f t="shared" si="14"/>
        <v>0</v>
      </c>
      <c r="M68" s="64">
        <f t="shared" si="15"/>
        <v>0</v>
      </c>
      <c r="N68" s="63">
        <f t="shared" si="16"/>
        <v>0</v>
      </c>
      <c r="O68">
        <f t="shared" si="17"/>
        <v>0</v>
      </c>
      <c r="P68">
        <f t="shared" si="18"/>
        <v>0</v>
      </c>
      <c r="Q68" s="64">
        <f t="shared" si="19"/>
        <v>0</v>
      </c>
    </row>
    <row r="69" spans="1:17" x14ac:dyDescent="0.2">
      <c r="A69" s="62">
        <v>55</v>
      </c>
      <c r="B69" s="63">
        <f t="shared" si="4"/>
        <v>0</v>
      </c>
      <c r="C69">
        <f t="shared" si="5"/>
        <v>0</v>
      </c>
      <c r="D69">
        <f t="shared" si="6"/>
        <v>0</v>
      </c>
      <c r="E69" s="64">
        <f t="shared" si="7"/>
        <v>0</v>
      </c>
      <c r="F69" s="63">
        <f t="shared" si="8"/>
        <v>0</v>
      </c>
      <c r="G69">
        <f t="shared" si="9"/>
        <v>0</v>
      </c>
      <c r="H69">
        <f t="shared" si="10"/>
        <v>0</v>
      </c>
      <c r="I69" s="64">
        <f t="shared" si="11"/>
        <v>0</v>
      </c>
      <c r="J69" s="63">
        <f t="shared" si="12"/>
        <v>0</v>
      </c>
      <c r="K69">
        <f t="shared" si="13"/>
        <v>0</v>
      </c>
      <c r="L69">
        <f t="shared" si="14"/>
        <v>0</v>
      </c>
      <c r="M69" s="64">
        <f t="shared" si="15"/>
        <v>0</v>
      </c>
      <c r="N69" s="63">
        <f t="shared" si="16"/>
        <v>0</v>
      </c>
      <c r="O69">
        <f t="shared" si="17"/>
        <v>0</v>
      </c>
      <c r="P69">
        <f t="shared" si="18"/>
        <v>0</v>
      </c>
      <c r="Q69" s="64">
        <f t="shared" si="19"/>
        <v>0</v>
      </c>
    </row>
    <row r="70" spans="1:17" x14ac:dyDescent="0.2">
      <c r="A70" s="62">
        <v>56</v>
      </c>
      <c r="B70" s="63">
        <f t="shared" si="4"/>
        <v>0</v>
      </c>
      <c r="C70">
        <f t="shared" si="5"/>
        <v>0</v>
      </c>
      <c r="D70">
        <f t="shared" si="6"/>
        <v>0</v>
      </c>
      <c r="E70" s="64">
        <f t="shared" si="7"/>
        <v>0</v>
      </c>
      <c r="F70" s="63">
        <f t="shared" si="8"/>
        <v>0</v>
      </c>
      <c r="G70">
        <f t="shared" si="9"/>
        <v>0</v>
      </c>
      <c r="H70">
        <f t="shared" si="10"/>
        <v>0</v>
      </c>
      <c r="I70" s="64">
        <f t="shared" si="11"/>
        <v>0</v>
      </c>
      <c r="J70" s="63">
        <f t="shared" si="12"/>
        <v>0</v>
      </c>
      <c r="K70">
        <f t="shared" si="13"/>
        <v>0</v>
      </c>
      <c r="L70">
        <f t="shared" si="14"/>
        <v>0</v>
      </c>
      <c r="M70" s="64">
        <f t="shared" si="15"/>
        <v>0</v>
      </c>
      <c r="N70" s="63">
        <f t="shared" si="16"/>
        <v>0</v>
      </c>
      <c r="O70">
        <f t="shared" si="17"/>
        <v>0</v>
      </c>
      <c r="P70">
        <f t="shared" si="18"/>
        <v>0</v>
      </c>
      <c r="Q70" s="64">
        <f t="shared" si="19"/>
        <v>0</v>
      </c>
    </row>
    <row r="71" spans="1:17" x14ac:dyDescent="0.2">
      <c r="A71" s="62">
        <v>57</v>
      </c>
      <c r="B71" s="63">
        <f t="shared" si="4"/>
        <v>0</v>
      </c>
      <c r="C71">
        <f t="shared" si="5"/>
        <v>0</v>
      </c>
      <c r="D71">
        <f t="shared" si="6"/>
        <v>0</v>
      </c>
      <c r="E71" s="64">
        <f t="shared" si="7"/>
        <v>0</v>
      </c>
      <c r="F71" s="63">
        <f t="shared" si="8"/>
        <v>0</v>
      </c>
      <c r="G71">
        <f t="shared" si="9"/>
        <v>0</v>
      </c>
      <c r="H71">
        <f t="shared" si="10"/>
        <v>0</v>
      </c>
      <c r="I71" s="64">
        <f t="shared" si="11"/>
        <v>0</v>
      </c>
      <c r="J71" s="63">
        <f t="shared" si="12"/>
        <v>0</v>
      </c>
      <c r="K71">
        <f t="shared" si="13"/>
        <v>0</v>
      </c>
      <c r="L71">
        <f t="shared" si="14"/>
        <v>0</v>
      </c>
      <c r="M71" s="64">
        <f t="shared" si="15"/>
        <v>0</v>
      </c>
      <c r="N71" s="63">
        <f t="shared" si="16"/>
        <v>0</v>
      </c>
      <c r="O71">
        <f t="shared" si="17"/>
        <v>0</v>
      </c>
      <c r="P71">
        <f t="shared" si="18"/>
        <v>0</v>
      </c>
      <c r="Q71" s="64">
        <f t="shared" si="19"/>
        <v>0</v>
      </c>
    </row>
    <row r="72" spans="1:17" x14ac:dyDescent="0.2">
      <c r="A72" s="62">
        <v>58</v>
      </c>
      <c r="B72" s="63">
        <f t="shared" si="4"/>
        <v>0</v>
      </c>
      <c r="C72">
        <f t="shared" si="5"/>
        <v>0</v>
      </c>
      <c r="D72">
        <f t="shared" si="6"/>
        <v>0</v>
      </c>
      <c r="E72" s="64">
        <f t="shared" si="7"/>
        <v>0</v>
      </c>
      <c r="F72" s="63">
        <f t="shared" si="8"/>
        <v>0</v>
      </c>
      <c r="G72">
        <f t="shared" si="9"/>
        <v>0</v>
      </c>
      <c r="H72">
        <f t="shared" si="10"/>
        <v>0</v>
      </c>
      <c r="I72" s="64">
        <f t="shared" si="11"/>
        <v>0</v>
      </c>
      <c r="J72" s="63">
        <f t="shared" si="12"/>
        <v>0</v>
      </c>
      <c r="K72">
        <f t="shared" si="13"/>
        <v>0</v>
      </c>
      <c r="L72">
        <f t="shared" si="14"/>
        <v>0</v>
      </c>
      <c r="M72" s="64">
        <f t="shared" si="15"/>
        <v>0</v>
      </c>
      <c r="N72" s="63">
        <f t="shared" si="16"/>
        <v>0</v>
      </c>
      <c r="O72">
        <f t="shared" si="17"/>
        <v>0</v>
      </c>
      <c r="P72">
        <f t="shared" si="18"/>
        <v>0</v>
      </c>
      <c r="Q72" s="64">
        <f t="shared" si="19"/>
        <v>0</v>
      </c>
    </row>
    <row r="73" spans="1:17" x14ac:dyDescent="0.2">
      <c r="A73" s="62">
        <v>59</v>
      </c>
      <c r="B73" s="63">
        <f t="shared" si="4"/>
        <v>0</v>
      </c>
      <c r="C73">
        <f t="shared" si="5"/>
        <v>0</v>
      </c>
      <c r="D73">
        <f t="shared" si="6"/>
        <v>0</v>
      </c>
      <c r="E73" s="64">
        <f t="shared" si="7"/>
        <v>0</v>
      </c>
      <c r="F73" s="63">
        <f t="shared" si="8"/>
        <v>0</v>
      </c>
      <c r="G73">
        <f t="shared" si="9"/>
        <v>0</v>
      </c>
      <c r="H73">
        <f t="shared" si="10"/>
        <v>0</v>
      </c>
      <c r="I73" s="64">
        <f t="shared" si="11"/>
        <v>0</v>
      </c>
      <c r="J73" s="63">
        <f t="shared" si="12"/>
        <v>0</v>
      </c>
      <c r="K73">
        <f t="shared" si="13"/>
        <v>0</v>
      </c>
      <c r="L73">
        <f t="shared" si="14"/>
        <v>0</v>
      </c>
      <c r="M73" s="64">
        <f t="shared" si="15"/>
        <v>0</v>
      </c>
      <c r="N73" s="63">
        <f t="shared" si="16"/>
        <v>0</v>
      </c>
      <c r="O73">
        <f t="shared" si="17"/>
        <v>0</v>
      </c>
      <c r="P73">
        <f t="shared" si="18"/>
        <v>0</v>
      </c>
      <c r="Q73" s="64">
        <f t="shared" si="19"/>
        <v>0</v>
      </c>
    </row>
    <row r="74" spans="1:17" ht="16" thickBot="1" x14ac:dyDescent="0.25">
      <c r="A74" s="65">
        <v>60</v>
      </c>
      <c r="B74" s="66">
        <f t="shared" si="4"/>
        <v>0</v>
      </c>
      <c r="C74" s="67">
        <f t="shared" si="5"/>
        <v>0</v>
      </c>
      <c r="D74" s="67">
        <f t="shared" si="6"/>
        <v>0</v>
      </c>
      <c r="E74" s="68">
        <f t="shared" si="7"/>
        <v>0</v>
      </c>
      <c r="F74" s="66">
        <f t="shared" si="8"/>
        <v>0</v>
      </c>
      <c r="G74" s="67">
        <f t="shared" si="9"/>
        <v>0</v>
      </c>
      <c r="H74" s="67">
        <f t="shared" si="10"/>
        <v>0</v>
      </c>
      <c r="I74" s="68">
        <f t="shared" si="11"/>
        <v>0</v>
      </c>
      <c r="J74" s="63">
        <f t="shared" si="12"/>
        <v>0</v>
      </c>
      <c r="K74">
        <f t="shared" si="13"/>
        <v>0</v>
      </c>
      <c r="L74">
        <f t="shared" si="14"/>
        <v>0</v>
      </c>
      <c r="M74" s="64">
        <f t="shared" si="15"/>
        <v>0</v>
      </c>
      <c r="N74" s="63">
        <f t="shared" si="16"/>
        <v>0</v>
      </c>
      <c r="O74">
        <f t="shared" si="17"/>
        <v>0</v>
      </c>
      <c r="P74">
        <f t="shared" si="18"/>
        <v>0</v>
      </c>
      <c r="Q74" s="64">
        <f t="shared" si="19"/>
        <v>0</v>
      </c>
    </row>
  </sheetData>
  <mergeCells count="4">
    <mergeCell ref="B13:E13"/>
    <mergeCell ref="F13:I13"/>
    <mergeCell ref="J13:M13"/>
    <mergeCell ref="N13:Q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showGridLines="0" workbookViewId="0">
      <selection sqref="A1:I1"/>
    </sheetView>
  </sheetViews>
  <sheetFormatPr baseColWidth="10" defaultColWidth="8.83203125" defaultRowHeight="15" x14ac:dyDescent="0.2"/>
  <cols>
    <col min="1" max="1" width="10" customWidth="1"/>
    <col min="2" max="2" width="16" customWidth="1"/>
    <col min="3" max="4" width="14" customWidth="1"/>
    <col min="5" max="5" width="12" customWidth="1"/>
    <col min="6" max="6" width="14" customWidth="1"/>
    <col min="8" max="8" width="30" customWidth="1"/>
    <col min="9" max="9" width="14" customWidth="1"/>
  </cols>
  <sheetData>
    <row r="1" spans="1:9" ht="21" x14ac:dyDescent="0.2">
      <c r="A1" s="45" t="s">
        <v>53</v>
      </c>
      <c r="B1" s="46"/>
      <c r="C1" s="46"/>
      <c r="D1" s="46"/>
      <c r="E1" s="46"/>
      <c r="F1" s="46"/>
      <c r="G1" s="46"/>
      <c r="H1" s="46"/>
      <c r="I1" s="46"/>
    </row>
    <row r="3" spans="1:9" ht="16" x14ac:dyDescent="0.2">
      <c r="A3" s="48" t="s">
        <v>54</v>
      </c>
      <c r="B3" s="46"/>
      <c r="C3" s="46"/>
      <c r="H3" s="48" t="s">
        <v>55</v>
      </c>
      <c r="I3" s="46"/>
    </row>
    <row r="4" spans="1:9" x14ac:dyDescent="0.2">
      <c r="B4" s="17" t="s">
        <v>56</v>
      </c>
      <c r="C4" s="12">
        <v>1000</v>
      </c>
      <c r="H4" s="17" t="s">
        <v>57</v>
      </c>
      <c r="I4" s="18">
        <f>SUM(F13:F16)</f>
        <v>3.6666954517517727</v>
      </c>
    </row>
    <row r="5" spans="1:9" x14ac:dyDescent="0.2">
      <c r="B5" s="17" t="s">
        <v>58</v>
      </c>
      <c r="C5" s="9">
        <v>0.06</v>
      </c>
      <c r="H5" s="17" t="s">
        <v>59</v>
      </c>
      <c r="I5" s="18">
        <f>I4/(1+$C$6)</f>
        <v>3.4268181792072641</v>
      </c>
    </row>
    <row r="6" spans="1:9" x14ac:dyDescent="0.2">
      <c r="B6" s="17" t="s">
        <v>36</v>
      </c>
      <c r="C6" s="9">
        <v>7.0000000000000007E-2</v>
      </c>
      <c r="H6" s="17" t="s">
        <v>60</v>
      </c>
      <c r="I6" s="9">
        <v>0.01</v>
      </c>
    </row>
    <row r="7" spans="1:9" x14ac:dyDescent="0.2">
      <c r="B7" s="17" t="s">
        <v>35</v>
      </c>
      <c r="C7" s="19">
        <v>4</v>
      </c>
      <c r="H7" s="17" t="s">
        <v>61</v>
      </c>
      <c r="I7" s="13">
        <f>-PV($C$6+$I$6,$C$7,$C$8,$C$4)</f>
        <v>933.75746319911332</v>
      </c>
    </row>
    <row r="8" spans="1:9" x14ac:dyDescent="0.2">
      <c r="B8" s="17" t="s">
        <v>38</v>
      </c>
      <c r="C8" s="13">
        <f>C4*C5</f>
        <v>60</v>
      </c>
      <c r="H8" s="17" t="s">
        <v>62</v>
      </c>
      <c r="I8" s="14">
        <f>I7/$C$9-1</f>
        <v>-3.3505320214052059E-2</v>
      </c>
    </row>
    <row r="9" spans="1:9" x14ac:dyDescent="0.2">
      <c r="B9" s="17" t="s">
        <v>63</v>
      </c>
      <c r="C9" s="13">
        <f>-PV(C6,C7,C8,C4)</f>
        <v>966.12788743536078</v>
      </c>
      <c r="H9" s="17" t="s">
        <v>64</v>
      </c>
      <c r="I9" s="14">
        <f>-I5*I6</f>
        <v>-3.4268181792072638E-2</v>
      </c>
    </row>
    <row r="10" spans="1:9" x14ac:dyDescent="0.2">
      <c r="H10" s="17" t="s">
        <v>65</v>
      </c>
      <c r="I10" s="14">
        <f>I9-I8</f>
        <v>-7.6286157802057941E-4</v>
      </c>
    </row>
    <row r="11" spans="1:9" x14ac:dyDescent="0.2">
      <c r="H11" s="17" t="s">
        <v>66</v>
      </c>
      <c r="I11" s="13">
        <f>-PV($C$6-$I$6,$C$7,$C$8,$C$4)</f>
        <v>1000.0000000000001</v>
      </c>
    </row>
    <row r="12" spans="1:9" x14ac:dyDescent="0.2">
      <c r="A12" s="10" t="s">
        <v>67</v>
      </c>
      <c r="B12" s="10" t="s">
        <v>68</v>
      </c>
      <c r="C12" s="10" t="s">
        <v>69</v>
      </c>
      <c r="D12" s="10" t="s">
        <v>70</v>
      </c>
      <c r="E12" s="10" t="s">
        <v>71</v>
      </c>
      <c r="F12" s="10" t="s">
        <v>72</v>
      </c>
      <c r="H12" s="17" t="s">
        <v>73</v>
      </c>
      <c r="I12" s="14">
        <f>I11/$C$9-1</f>
        <v>3.5059657220489315E-2</v>
      </c>
    </row>
    <row r="13" spans="1:9" x14ac:dyDescent="0.2">
      <c r="A13" s="3">
        <v>1</v>
      </c>
      <c r="B13" s="13">
        <f>IF(A13&lt;$C$7,$C$8,$C$8+$C$4)</f>
        <v>60</v>
      </c>
      <c r="C13" s="5">
        <f>(1+$C$6)^A13</f>
        <v>1.07</v>
      </c>
      <c r="D13" s="13">
        <f>B13/C13</f>
        <v>56.074766355140184</v>
      </c>
      <c r="E13" s="20">
        <f>D13/$C$9</f>
        <v>5.8040728442270428E-2</v>
      </c>
      <c r="F13" s="20">
        <f>A13*E13</f>
        <v>5.8040728442270428E-2</v>
      </c>
      <c r="H13" s="17" t="s">
        <v>74</v>
      </c>
      <c r="I13" s="14">
        <f>I5*I6</f>
        <v>3.4268181792072638E-2</v>
      </c>
    </row>
    <row r="14" spans="1:9" x14ac:dyDescent="0.2">
      <c r="A14" s="3">
        <v>2</v>
      </c>
      <c r="B14" s="13">
        <f>IF(A14&lt;$C$7,$C$8,$C$8+$C$4)</f>
        <v>60</v>
      </c>
      <c r="C14" s="5">
        <f>(1+$C$6)^A14</f>
        <v>1.1449</v>
      </c>
      <c r="D14" s="13">
        <f>B14/C14</f>
        <v>52.406323696392697</v>
      </c>
      <c r="E14" s="20">
        <f>D14/$C$9</f>
        <v>5.4243671441374229E-2</v>
      </c>
      <c r="F14" s="20">
        <f>A14*E14</f>
        <v>0.10848734288274846</v>
      </c>
      <c r="H14" s="17" t="s">
        <v>75</v>
      </c>
      <c r="I14" s="14">
        <f>I13-I12</f>
        <v>-7.9147542841667695E-4</v>
      </c>
    </row>
    <row r="15" spans="1:9" x14ac:dyDescent="0.2">
      <c r="A15" s="3">
        <v>3</v>
      </c>
      <c r="B15" s="13">
        <f>IF(A15&lt;$C$7,$C$8,$C$8+$C$4)</f>
        <v>60</v>
      </c>
      <c r="C15" s="5">
        <f>(1+$C$6)^A15</f>
        <v>1.2250430000000001</v>
      </c>
      <c r="D15" s="13">
        <f>B15/C15</f>
        <v>48.977872613451119</v>
      </c>
      <c r="E15" s="20">
        <f>D15/$C$9</f>
        <v>5.0695020038667507E-2</v>
      </c>
      <c r="F15" s="20">
        <f>A15*E15</f>
        <v>0.15208506011600254</v>
      </c>
    </row>
    <row r="16" spans="1:9" x14ac:dyDescent="0.2">
      <c r="A16" s="3">
        <v>4</v>
      </c>
      <c r="B16" s="13">
        <f>IF(A16&lt;$C$7,$C$8,$C$8+$C$4)</f>
        <v>1060</v>
      </c>
      <c r="C16" s="5">
        <f>(1+$C$6)^A16</f>
        <v>1.31079601</v>
      </c>
      <c r="D16" s="13">
        <f>B16/C16</f>
        <v>808.66892477037675</v>
      </c>
      <c r="E16" s="20">
        <f>D16/$C$9</f>
        <v>0.83702058007768776</v>
      </c>
      <c r="F16" s="20">
        <f>A16*E16</f>
        <v>3.348082320310751</v>
      </c>
    </row>
    <row r="19" spans="1:9" ht="48" customHeight="1" x14ac:dyDescent="0.2">
      <c r="A19" s="1" t="s">
        <v>76</v>
      </c>
      <c r="B19" s="47" t="s">
        <v>77</v>
      </c>
      <c r="C19" s="46"/>
      <c r="D19" s="46"/>
      <c r="E19" s="46"/>
      <c r="F19" s="46"/>
      <c r="G19" s="46"/>
      <c r="H19" s="46"/>
      <c r="I19" s="46"/>
    </row>
    <row r="20" spans="1:9" ht="24" customHeight="1" x14ac:dyDescent="0.2">
      <c r="B20" s="46"/>
      <c r="C20" s="46"/>
      <c r="D20" s="46"/>
      <c r="E20" s="46"/>
      <c r="F20" s="46"/>
      <c r="G20" s="46"/>
      <c r="H20" s="46"/>
      <c r="I20" s="46"/>
    </row>
    <row r="21" spans="1:9" ht="24" customHeight="1" x14ac:dyDescent="0.2">
      <c r="B21" s="46"/>
      <c r="C21" s="46"/>
      <c r="D21" s="46"/>
      <c r="E21" s="46"/>
      <c r="F21" s="46"/>
      <c r="G21" s="46"/>
      <c r="H21" s="46"/>
      <c r="I21" s="46"/>
    </row>
  </sheetData>
  <mergeCells count="4">
    <mergeCell ref="A1:I1"/>
    <mergeCell ref="B19:I21"/>
    <mergeCell ref="A3:C3"/>
    <mergeCell ref="H3:I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2"/>
  <sheetViews>
    <sheetView showGridLines="0" workbookViewId="0">
      <selection sqref="A1:AA1"/>
    </sheetView>
  </sheetViews>
  <sheetFormatPr baseColWidth="10" defaultColWidth="8.83203125" defaultRowHeight="15" x14ac:dyDescent="0.2"/>
  <cols>
    <col min="1" max="1" width="28" customWidth="1"/>
    <col min="2" max="2" width="13" customWidth="1"/>
    <col min="3" max="4" width="12" customWidth="1"/>
    <col min="5" max="5" width="14" customWidth="1"/>
    <col min="6" max="7" width="16" customWidth="1"/>
    <col min="8" max="27" width="9" customWidth="1"/>
  </cols>
  <sheetData>
    <row r="1" spans="1:27" ht="21" x14ac:dyDescent="0.2">
      <c r="A1" s="45" t="s">
        <v>78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3" spans="1:27" ht="16" x14ac:dyDescent="0.2">
      <c r="A3" s="48" t="s">
        <v>79</v>
      </c>
      <c r="B3" s="46"/>
      <c r="C3" s="46"/>
      <c r="D3" s="46"/>
      <c r="E3" s="46"/>
      <c r="F3" s="46"/>
      <c r="G3" s="46"/>
      <c r="H3" s="1" t="s">
        <v>80</v>
      </c>
    </row>
    <row r="4" spans="1:27" x14ac:dyDescent="0.2">
      <c r="A4" s="10" t="s">
        <v>81</v>
      </c>
      <c r="B4" s="10" t="s">
        <v>58</v>
      </c>
      <c r="C4" s="10" t="s">
        <v>36</v>
      </c>
      <c r="D4" s="10" t="s">
        <v>82</v>
      </c>
      <c r="E4" s="10" t="s">
        <v>63</v>
      </c>
      <c r="F4" s="10" t="s">
        <v>57</v>
      </c>
      <c r="G4" s="10" t="s">
        <v>59</v>
      </c>
      <c r="H4" s="21">
        <v>1</v>
      </c>
      <c r="I4" s="21">
        <v>2</v>
      </c>
      <c r="J4" s="21">
        <v>3</v>
      </c>
      <c r="K4" s="21">
        <v>4</v>
      </c>
      <c r="L4" s="21">
        <v>5</v>
      </c>
      <c r="M4" s="21">
        <v>6</v>
      </c>
      <c r="N4" s="21">
        <v>7</v>
      </c>
      <c r="O4" s="21">
        <v>8</v>
      </c>
      <c r="P4" s="21">
        <v>9</v>
      </c>
      <c r="Q4" s="21">
        <v>10</v>
      </c>
      <c r="R4" s="21">
        <v>11</v>
      </c>
      <c r="S4" s="21">
        <v>12</v>
      </c>
      <c r="T4" s="21">
        <v>13</v>
      </c>
      <c r="U4" s="21">
        <v>14</v>
      </c>
      <c r="V4" s="21">
        <v>15</v>
      </c>
      <c r="W4" s="21">
        <v>16</v>
      </c>
      <c r="X4" s="21">
        <v>17</v>
      </c>
      <c r="Y4" s="21">
        <v>18</v>
      </c>
      <c r="Z4" s="21">
        <v>19</v>
      </c>
      <c r="AA4" s="21">
        <v>20</v>
      </c>
    </row>
    <row r="6" spans="1:27" ht="16" x14ac:dyDescent="0.2">
      <c r="A6" s="48" t="s">
        <v>83</v>
      </c>
      <c r="B6" s="46"/>
      <c r="C6" s="46"/>
      <c r="D6" s="46"/>
      <c r="E6" s="46"/>
      <c r="F6" s="46"/>
      <c r="G6" s="46"/>
    </row>
    <row r="7" spans="1:27" x14ac:dyDescent="0.2">
      <c r="A7" s="4" t="s">
        <v>84</v>
      </c>
      <c r="B7" s="11">
        <v>0.08</v>
      </c>
      <c r="C7" s="11">
        <v>0.06</v>
      </c>
      <c r="D7" s="22">
        <v>5</v>
      </c>
      <c r="E7" s="23">
        <f>SUM(H7:AA7)</f>
        <v>1084.2472757113139</v>
      </c>
      <c r="F7" s="24">
        <f>SUMPRODUCT(H7:AA7,$H$4:$AA$4)/E7</f>
        <v>4.3422233724935371</v>
      </c>
      <c r="G7" s="24">
        <f>F7/(1+C7)</f>
        <v>4.0964371438618272</v>
      </c>
      <c r="H7" s="23">
        <f t="shared" ref="H7:Q8" si="0">IF(H$4&lt;=$D7,IF(H$4=$D7,$B7*1000+1000,$B7*1000)/(1+$C7)^H$4,0)</f>
        <v>75.471698113207538</v>
      </c>
      <c r="I7" s="23">
        <f t="shared" si="0"/>
        <v>71.199715201139185</v>
      </c>
      <c r="J7" s="23">
        <f t="shared" si="0"/>
        <v>67.169542642584133</v>
      </c>
      <c r="K7" s="23">
        <f t="shared" si="0"/>
        <v>63.367493059041635</v>
      </c>
      <c r="L7" s="23">
        <f t="shared" si="0"/>
        <v>807.03882669534141</v>
      </c>
      <c r="M7" s="23">
        <f t="shared" si="0"/>
        <v>0</v>
      </c>
      <c r="N7" s="23">
        <f t="shared" si="0"/>
        <v>0</v>
      </c>
      <c r="O7" s="23">
        <f t="shared" si="0"/>
        <v>0</v>
      </c>
      <c r="P7" s="23">
        <f t="shared" si="0"/>
        <v>0</v>
      </c>
      <c r="Q7" s="23">
        <f t="shared" si="0"/>
        <v>0</v>
      </c>
      <c r="R7" s="23">
        <f t="shared" ref="R7:AA8" si="1">IF(R$4&lt;=$D7,IF(R$4=$D7,$B7*1000+1000,$B7*1000)/(1+$C7)^R$4,0)</f>
        <v>0</v>
      </c>
      <c r="S7" s="23">
        <f t="shared" si="1"/>
        <v>0</v>
      </c>
      <c r="T7" s="23">
        <f t="shared" si="1"/>
        <v>0</v>
      </c>
      <c r="U7" s="23">
        <f t="shared" si="1"/>
        <v>0</v>
      </c>
      <c r="V7" s="23">
        <f t="shared" si="1"/>
        <v>0</v>
      </c>
      <c r="W7" s="23">
        <f t="shared" si="1"/>
        <v>0</v>
      </c>
      <c r="X7" s="23">
        <f t="shared" si="1"/>
        <v>0</v>
      </c>
      <c r="Y7" s="23">
        <f t="shared" si="1"/>
        <v>0</v>
      </c>
      <c r="Z7" s="23">
        <f t="shared" si="1"/>
        <v>0</v>
      </c>
      <c r="AA7" s="23">
        <f t="shared" si="1"/>
        <v>0</v>
      </c>
    </row>
    <row r="8" spans="1:27" x14ac:dyDescent="0.2">
      <c r="A8" s="4" t="s">
        <v>85</v>
      </c>
      <c r="B8" s="11">
        <v>0.08</v>
      </c>
      <c r="C8" s="11">
        <v>0.06</v>
      </c>
      <c r="D8" s="22">
        <v>20</v>
      </c>
      <c r="E8" s="23">
        <f>SUM(H8:AA8)</f>
        <v>1229.3984243713044</v>
      </c>
      <c r="F8" s="24">
        <f>SUMPRODUCT(H8:AA8,$H$4:$AA$4)/E8</f>
        <v>11.495153669886912</v>
      </c>
      <c r="G8" s="24">
        <f>F8/(1+C8)</f>
        <v>10.844484594232936</v>
      </c>
      <c r="H8" s="23">
        <f t="shared" si="0"/>
        <v>75.471698113207538</v>
      </c>
      <c r="I8" s="23">
        <f t="shared" si="0"/>
        <v>71.199715201139185</v>
      </c>
      <c r="J8" s="23">
        <f t="shared" si="0"/>
        <v>67.169542642584133</v>
      </c>
      <c r="K8" s="23">
        <f t="shared" si="0"/>
        <v>63.367493059041635</v>
      </c>
      <c r="L8" s="23">
        <f t="shared" si="0"/>
        <v>59.780653829284553</v>
      </c>
      <c r="M8" s="23">
        <f t="shared" si="0"/>
        <v>56.396843235174103</v>
      </c>
      <c r="N8" s="23">
        <f t="shared" si="0"/>
        <v>53.204569089786879</v>
      </c>
      <c r="O8" s="23">
        <f t="shared" si="0"/>
        <v>50.192989707346122</v>
      </c>
      <c r="P8" s="23">
        <f t="shared" si="0"/>
        <v>47.351877082401998</v>
      </c>
      <c r="Q8" s="23">
        <f t="shared" si="0"/>
        <v>44.671582153209428</v>
      </c>
      <c r="R8" s="23">
        <f t="shared" si="1"/>
        <v>42.143002031329644</v>
      </c>
      <c r="S8" s="23">
        <f t="shared" si="1"/>
        <v>39.75754908616004</v>
      </c>
      <c r="T8" s="23">
        <f t="shared" si="1"/>
        <v>37.507121779396257</v>
      </c>
      <c r="U8" s="23">
        <f t="shared" si="1"/>
        <v>35.384077150373834</v>
      </c>
      <c r="V8" s="23">
        <f t="shared" si="1"/>
        <v>33.381204858843226</v>
      </c>
      <c r="W8" s="23">
        <f t="shared" si="1"/>
        <v>31.491702697021921</v>
      </c>
      <c r="X8" s="23">
        <f t="shared" si="1"/>
        <v>29.709153487756527</v>
      </c>
      <c r="Y8" s="23">
        <f t="shared" si="1"/>
        <v>28.027503290336345</v>
      </c>
      <c r="Z8" s="23">
        <f t="shared" si="1"/>
        <v>26.441040839939944</v>
      </c>
      <c r="AA8" s="23">
        <f t="shared" si="1"/>
        <v>336.749105036971</v>
      </c>
    </row>
    <row r="10" spans="1:27" ht="16" x14ac:dyDescent="0.2">
      <c r="A10" s="48" t="s">
        <v>86</v>
      </c>
      <c r="B10" s="46"/>
      <c r="C10" s="46"/>
      <c r="D10" s="46"/>
      <c r="E10" s="46"/>
      <c r="F10" s="46"/>
      <c r="G10" s="46"/>
    </row>
    <row r="11" spans="1:27" x14ac:dyDescent="0.2">
      <c r="A11" s="4" t="s">
        <v>85</v>
      </c>
      <c r="B11" s="11">
        <v>0.08</v>
      </c>
      <c r="C11" s="11">
        <v>0.06</v>
      </c>
      <c r="D11" s="22">
        <v>20</v>
      </c>
      <c r="E11" s="23">
        <f>SUM(H11:AA11)</f>
        <v>1229.3984243713044</v>
      </c>
      <c r="F11" s="24">
        <f>SUMPRODUCT(H11:AA11,$H$4:$AA$4)/E11</f>
        <v>11.495153669886912</v>
      </c>
      <c r="G11" s="24">
        <f>F11/(1+C11)</f>
        <v>10.844484594232936</v>
      </c>
      <c r="H11" s="23">
        <f t="shared" ref="H11:Q12" si="2">IF(H$4&lt;=$D11,IF(H$4=$D11,$B11*1000+1000,$B11*1000)/(1+$C11)^H$4,0)</f>
        <v>75.471698113207538</v>
      </c>
      <c r="I11" s="23">
        <f t="shared" si="2"/>
        <v>71.199715201139185</v>
      </c>
      <c r="J11" s="23">
        <f t="shared" si="2"/>
        <v>67.169542642584133</v>
      </c>
      <c r="K11" s="23">
        <f t="shared" si="2"/>
        <v>63.367493059041635</v>
      </c>
      <c r="L11" s="23">
        <f t="shared" si="2"/>
        <v>59.780653829284553</v>
      </c>
      <c r="M11" s="23">
        <f t="shared" si="2"/>
        <v>56.396843235174103</v>
      </c>
      <c r="N11" s="23">
        <f t="shared" si="2"/>
        <v>53.204569089786879</v>
      </c>
      <c r="O11" s="23">
        <f t="shared" si="2"/>
        <v>50.192989707346122</v>
      </c>
      <c r="P11" s="23">
        <f t="shared" si="2"/>
        <v>47.351877082401998</v>
      </c>
      <c r="Q11" s="23">
        <f t="shared" si="2"/>
        <v>44.671582153209428</v>
      </c>
      <c r="R11" s="23">
        <f t="shared" ref="R11:AA12" si="3">IF(R$4&lt;=$D11,IF(R$4=$D11,$B11*1000+1000,$B11*1000)/(1+$C11)^R$4,0)</f>
        <v>42.143002031329644</v>
      </c>
      <c r="S11" s="23">
        <f t="shared" si="3"/>
        <v>39.75754908616004</v>
      </c>
      <c r="T11" s="23">
        <f t="shared" si="3"/>
        <v>37.507121779396257</v>
      </c>
      <c r="U11" s="23">
        <f t="shared" si="3"/>
        <v>35.384077150373834</v>
      </c>
      <c r="V11" s="23">
        <f t="shared" si="3"/>
        <v>33.381204858843226</v>
      </c>
      <c r="W11" s="23">
        <f t="shared" si="3"/>
        <v>31.491702697021921</v>
      </c>
      <c r="X11" s="23">
        <f t="shared" si="3"/>
        <v>29.709153487756527</v>
      </c>
      <c r="Y11" s="23">
        <f t="shared" si="3"/>
        <v>28.027503290336345</v>
      </c>
      <c r="Z11" s="23">
        <f t="shared" si="3"/>
        <v>26.441040839939944</v>
      </c>
      <c r="AA11" s="23">
        <f t="shared" si="3"/>
        <v>336.749105036971</v>
      </c>
    </row>
    <row r="12" spans="1:27" x14ac:dyDescent="0.2">
      <c r="A12" s="4" t="s">
        <v>87</v>
      </c>
      <c r="B12" s="11">
        <v>0.02</v>
      </c>
      <c r="C12" s="11">
        <v>0.06</v>
      </c>
      <c r="D12" s="22">
        <v>20</v>
      </c>
      <c r="E12" s="23">
        <f>SUM(H12:AA12)</f>
        <v>541.20315125738921</v>
      </c>
      <c r="F12" s="24">
        <f>SUMPRODUCT(H12:AA12,$H$4:$AA$4)/E12</f>
        <v>15.170092481229643</v>
      </c>
      <c r="G12" s="24">
        <f>F12/(1+C12)</f>
        <v>14.311408001160039</v>
      </c>
      <c r="H12" s="23">
        <f t="shared" si="2"/>
        <v>18.867924528301884</v>
      </c>
      <c r="I12" s="23">
        <f t="shared" si="2"/>
        <v>17.799928800284796</v>
      </c>
      <c r="J12" s="23">
        <f t="shared" si="2"/>
        <v>16.792385660646033</v>
      </c>
      <c r="K12" s="23">
        <f t="shared" si="2"/>
        <v>15.841873264760409</v>
      </c>
      <c r="L12" s="23">
        <f t="shared" si="2"/>
        <v>14.945163457321138</v>
      </c>
      <c r="M12" s="23">
        <f t="shared" si="2"/>
        <v>14.099210808793526</v>
      </c>
      <c r="N12" s="23">
        <f t="shared" si="2"/>
        <v>13.30114227244672</v>
      </c>
      <c r="O12" s="23">
        <f t="shared" si="2"/>
        <v>12.54824742683653</v>
      </c>
      <c r="P12" s="23">
        <f t="shared" si="2"/>
        <v>11.8379692706005</v>
      </c>
      <c r="Q12" s="23">
        <f t="shared" si="2"/>
        <v>11.167895538302357</v>
      </c>
      <c r="R12" s="23">
        <f t="shared" si="3"/>
        <v>10.535750507832411</v>
      </c>
      <c r="S12" s="23">
        <f t="shared" si="3"/>
        <v>9.93938727154001</v>
      </c>
      <c r="T12" s="23">
        <f t="shared" si="3"/>
        <v>9.3767804448490644</v>
      </c>
      <c r="U12" s="23">
        <f t="shared" si="3"/>
        <v>8.8460192875934585</v>
      </c>
      <c r="V12" s="23">
        <f t="shared" si="3"/>
        <v>8.3453012147108065</v>
      </c>
      <c r="W12" s="23">
        <f t="shared" si="3"/>
        <v>7.8729256742554803</v>
      </c>
      <c r="X12" s="23">
        <f t="shared" si="3"/>
        <v>7.4272883719391318</v>
      </c>
      <c r="Y12" s="23">
        <f t="shared" si="3"/>
        <v>7.0068758225840861</v>
      </c>
      <c r="Z12" s="23">
        <f t="shared" si="3"/>
        <v>6.6102602099849861</v>
      </c>
      <c r="AA12" s="23">
        <f t="shared" si="3"/>
        <v>318.04082142380594</v>
      </c>
    </row>
    <row r="14" spans="1:27" ht="16" x14ac:dyDescent="0.2">
      <c r="A14" s="48" t="s">
        <v>88</v>
      </c>
      <c r="B14" s="46"/>
      <c r="C14" s="46"/>
      <c r="D14" s="46"/>
      <c r="E14" s="46"/>
      <c r="F14" s="46"/>
      <c r="G14" s="46"/>
    </row>
    <row r="15" spans="1:27" x14ac:dyDescent="0.2">
      <c r="A15" s="4" t="s">
        <v>89</v>
      </c>
      <c r="B15" s="11">
        <v>0</v>
      </c>
      <c r="C15" s="11">
        <v>0.08</v>
      </c>
      <c r="D15" s="22">
        <v>20</v>
      </c>
      <c r="E15" s="23">
        <f>SUM(H15:AA15)</f>
        <v>214.54820740405654</v>
      </c>
      <c r="F15" s="24">
        <f>SUMPRODUCT(H15:AA15,$H$4:$AA$4)/E15</f>
        <v>20</v>
      </c>
      <c r="G15" s="24">
        <f>F15/(1+C15)</f>
        <v>18.518518518518519</v>
      </c>
      <c r="H15" s="23">
        <f t="shared" ref="H15:Q16" si="4">IF(H$4&lt;=$D15,IF(H$4=$D15,$B15*1000+1000,$B15*1000)/(1+$C15)^H$4,0)</f>
        <v>0</v>
      </c>
      <c r="I15" s="23">
        <f t="shared" si="4"/>
        <v>0</v>
      </c>
      <c r="J15" s="23">
        <f t="shared" si="4"/>
        <v>0</v>
      </c>
      <c r="K15" s="23">
        <f t="shared" si="4"/>
        <v>0</v>
      </c>
      <c r="L15" s="23">
        <f t="shared" si="4"/>
        <v>0</v>
      </c>
      <c r="M15" s="23">
        <f t="shared" si="4"/>
        <v>0</v>
      </c>
      <c r="N15" s="23">
        <f t="shared" si="4"/>
        <v>0</v>
      </c>
      <c r="O15" s="23">
        <f t="shared" si="4"/>
        <v>0</v>
      </c>
      <c r="P15" s="23">
        <f t="shared" si="4"/>
        <v>0</v>
      </c>
      <c r="Q15" s="23">
        <f t="shared" si="4"/>
        <v>0</v>
      </c>
      <c r="R15" s="23">
        <f t="shared" ref="R15:AA16" si="5">IF(R$4&lt;=$D15,IF(R$4=$D15,$B15*1000+1000,$B15*1000)/(1+$C15)^R$4,0)</f>
        <v>0</v>
      </c>
      <c r="S15" s="23">
        <f t="shared" si="5"/>
        <v>0</v>
      </c>
      <c r="T15" s="23">
        <f t="shared" si="5"/>
        <v>0</v>
      </c>
      <c r="U15" s="23">
        <f t="shared" si="5"/>
        <v>0</v>
      </c>
      <c r="V15" s="23">
        <f t="shared" si="5"/>
        <v>0</v>
      </c>
      <c r="W15" s="23">
        <f t="shared" si="5"/>
        <v>0</v>
      </c>
      <c r="X15" s="23">
        <f t="shared" si="5"/>
        <v>0</v>
      </c>
      <c r="Y15" s="23">
        <f t="shared" si="5"/>
        <v>0</v>
      </c>
      <c r="Z15" s="23">
        <f t="shared" si="5"/>
        <v>0</v>
      </c>
      <c r="AA15" s="23">
        <f t="shared" si="5"/>
        <v>214.54820740405654</v>
      </c>
    </row>
    <row r="16" spans="1:27" x14ac:dyDescent="0.2">
      <c r="A16" s="4" t="s">
        <v>90</v>
      </c>
      <c r="B16" s="11">
        <v>0</v>
      </c>
      <c r="C16" s="11">
        <v>0.03</v>
      </c>
      <c r="D16" s="22">
        <v>20</v>
      </c>
      <c r="E16" s="23">
        <f>SUM(H16:AA16)</f>
        <v>553.67575418633498</v>
      </c>
      <c r="F16" s="24">
        <f>SUMPRODUCT(H16:AA16,$H$4:$AA$4)/E16</f>
        <v>20</v>
      </c>
      <c r="G16" s="24">
        <f>F16/(1+C16)</f>
        <v>19.417475728155338</v>
      </c>
      <c r="H16" s="23">
        <f t="shared" si="4"/>
        <v>0</v>
      </c>
      <c r="I16" s="23">
        <f t="shared" si="4"/>
        <v>0</v>
      </c>
      <c r="J16" s="23">
        <f t="shared" si="4"/>
        <v>0</v>
      </c>
      <c r="K16" s="23">
        <f t="shared" si="4"/>
        <v>0</v>
      </c>
      <c r="L16" s="23">
        <f t="shared" si="4"/>
        <v>0</v>
      </c>
      <c r="M16" s="23">
        <f t="shared" si="4"/>
        <v>0</v>
      </c>
      <c r="N16" s="23">
        <f t="shared" si="4"/>
        <v>0</v>
      </c>
      <c r="O16" s="23">
        <f t="shared" si="4"/>
        <v>0</v>
      </c>
      <c r="P16" s="23">
        <f t="shared" si="4"/>
        <v>0</v>
      </c>
      <c r="Q16" s="23">
        <f t="shared" si="4"/>
        <v>0</v>
      </c>
      <c r="R16" s="23">
        <f t="shared" si="5"/>
        <v>0</v>
      </c>
      <c r="S16" s="23">
        <f t="shared" si="5"/>
        <v>0</v>
      </c>
      <c r="T16" s="23">
        <f t="shared" si="5"/>
        <v>0</v>
      </c>
      <c r="U16" s="23">
        <f t="shared" si="5"/>
        <v>0</v>
      </c>
      <c r="V16" s="23">
        <f t="shared" si="5"/>
        <v>0</v>
      </c>
      <c r="W16" s="23">
        <f t="shared" si="5"/>
        <v>0</v>
      </c>
      <c r="X16" s="23">
        <f t="shared" si="5"/>
        <v>0</v>
      </c>
      <c r="Y16" s="23">
        <f t="shared" si="5"/>
        <v>0</v>
      </c>
      <c r="Z16" s="23">
        <f t="shared" si="5"/>
        <v>0</v>
      </c>
      <c r="AA16" s="23">
        <f t="shared" si="5"/>
        <v>553.67575418633498</v>
      </c>
    </row>
    <row r="19" spans="1:2" x14ac:dyDescent="0.2">
      <c r="A19" s="1" t="s">
        <v>91</v>
      </c>
    </row>
    <row r="20" spans="1:2" ht="128" x14ac:dyDescent="0.2">
      <c r="A20" s="4" t="s">
        <v>92</v>
      </c>
      <c r="B20" s="2" t="s">
        <v>93</v>
      </c>
    </row>
    <row r="21" spans="1:2" ht="160" x14ac:dyDescent="0.2">
      <c r="A21" s="4" t="s">
        <v>94</v>
      </c>
      <c r="B21" s="2" t="s">
        <v>95</v>
      </c>
    </row>
    <row r="22" spans="1:2" ht="144" x14ac:dyDescent="0.2">
      <c r="A22" s="4" t="s">
        <v>96</v>
      </c>
      <c r="B22" s="2" t="s">
        <v>97</v>
      </c>
    </row>
  </sheetData>
  <mergeCells count="5">
    <mergeCell ref="A14:G14"/>
    <mergeCell ref="A3:G3"/>
    <mergeCell ref="A6:G6"/>
    <mergeCell ref="A1:AA1"/>
    <mergeCell ref="A10:G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E24"/>
  <sheetViews>
    <sheetView workbookViewId="0">
      <pane xSplit="1" ySplit="3" topLeftCell="B4" activePane="bottomRight" state="frozen"/>
      <selection pane="topRight"/>
      <selection pane="bottomLeft"/>
      <selection pane="bottomRight" activeCell="F10" sqref="F10"/>
    </sheetView>
  </sheetViews>
  <sheetFormatPr baseColWidth="10" defaultColWidth="8.83203125" defaultRowHeight="15" x14ac:dyDescent="0.2"/>
  <cols>
    <col min="1" max="1" width="3" customWidth="1"/>
    <col min="2" max="2" width="21" customWidth="1"/>
    <col min="3" max="3" width="13" customWidth="1"/>
    <col min="4" max="4" width="4" customWidth="1"/>
    <col min="5" max="5" width="28" customWidth="1"/>
    <col min="6" max="6" width="16" customWidth="1"/>
    <col min="7" max="13" width="10" customWidth="1"/>
    <col min="14" max="31" width="9" customWidth="1"/>
  </cols>
  <sheetData>
    <row r="1" spans="2:31" ht="17" x14ac:dyDescent="0.2">
      <c r="B1" s="52" t="s">
        <v>123</v>
      </c>
      <c r="C1" s="51"/>
      <c r="D1" s="51"/>
      <c r="E1" s="50"/>
      <c r="F1" s="51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2:31" x14ac:dyDescent="0.2">
      <c r="B2" s="4"/>
      <c r="C2" s="25"/>
      <c r="D2" s="25"/>
      <c r="E2" s="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</row>
    <row r="3" spans="2:31" x14ac:dyDescent="0.2">
      <c r="B3" s="26" t="s">
        <v>54</v>
      </c>
      <c r="C3" s="25"/>
      <c r="D3" s="25"/>
      <c r="E3" s="26" t="s">
        <v>55</v>
      </c>
      <c r="F3" s="25"/>
      <c r="G3" s="27" t="s">
        <v>124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</row>
    <row r="4" spans="2:31" x14ac:dyDescent="0.2">
      <c r="B4" s="4" t="s">
        <v>56</v>
      </c>
      <c r="C4" s="28">
        <v>1000</v>
      </c>
      <c r="D4" s="25"/>
      <c r="E4" s="4" t="s">
        <v>57</v>
      </c>
      <c r="F4" s="29">
        <f>SUM(G7:AE7)</f>
        <v>15.455641617812155</v>
      </c>
      <c r="G4" s="30" t="s">
        <v>125</v>
      </c>
      <c r="H4" s="30">
        <v>2</v>
      </c>
      <c r="I4" s="30">
        <v>3</v>
      </c>
      <c r="J4" s="30">
        <v>4</v>
      </c>
      <c r="K4" s="30">
        <v>5</v>
      </c>
      <c r="L4" s="30">
        <v>6</v>
      </c>
      <c r="M4" s="30">
        <v>7</v>
      </c>
      <c r="N4" s="30">
        <v>8</v>
      </c>
      <c r="O4" s="30">
        <v>9</v>
      </c>
      <c r="P4" s="30">
        <v>10</v>
      </c>
      <c r="Q4" s="30">
        <v>11</v>
      </c>
      <c r="R4" s="30">
        <v>12</v>
      </c>
      <c r="S4" s="30">
        <v>13</v>
      </c>
      <c r="T4" s="30">
        <v>14</v>
      </c>
      <c r="U4" s="30">
        <v>15</v>
      </c>
      <c r="V4" s="30">
        <v>16</v>
      </c>
      <c r="W4" s="30">
        <v>17</v>
      </c>
      <c r="X4" s="30">
        <v>18</v>
      </c>
      <c r="Y4" s="30">
        <v>19</v>
      </c>
      <c r="Z4" s="30">
        <v>20</v>
      </c>
      <c r="AA4" s="30">
        <v>21</v>
      </c>
      <c r="AB4" s="30">
        <v>22</v>
      </c>
      <c r="AC4" s="30">
        <v>23</v>
      </c>
      <c r="AD4" s="30">
        <v>24</v>
      </c>
      <c r="AE4" s="30">
        <v>25</v>
      </c>
    </row>
    <row r="5" spans="2:31" x14ac:dyDescent="0.2">
      <c r="B5" s="4" t="s">
        <v>58</v>
      </c>
      <c r="C5" s="31">
        <v>0.04</v>
      </c>
      <c r="D5" s="25"/>
      <c r="E5" s="4" t="s">
        <v>59</v>
      </c>
      <c r="F5" s="29">
        <f>F4/(1+$C$6)</f>
        <v>14.719658683630623</v>
      </c>
      <c r="G5" s="32"/>
      <c r="H5" s="32">
        <f t="shared" ref="H5:AE5" si="0">IF(H$4&lt;=$C$7,IF(H$4=$C$7,$C$9+$C$4,$C$9)/(1+$C$6)^H$4,0)</f>
        <v>36.281179138321995</v>
      </c>
      <c r="I5" s="32">
        <f t="shared" si="0"/>
        <v>34.553503941259038</v>
      </c>
      <c r="J5" s="32">
        <f t="shared" si="0"/>
        <v>32.908098991675281</v>
      </c>
      <c r="K5" s="32">
        <f t="shared" si="0"/>
        <v>31.341046658738357</v>
      </c>
      <c r="L5" s="32">
        <f t="shared" si="0"/>
        <v>29.848615865465106</v>
      </c>
      <c r="M5" s="32">
        <f t="shared" si="0"/>
        <v>28.42725320520486</v>
      </c>
      <c r="N5" s="32">
        <f t="shared" si="0"/>
        <v>27.073574481147489</v>
      </c>
      <c r="O5" s="32">
        <f t="shared" si="0"/>
        <v>25.784356648711892</v>
      </c>
      <c r="P5" s="32">
        <f t="shared" si="0"/>
        <v>24.556530141630372</v>
      </c>
      <c r="Q5" s="32">
        <f t="shared" si="0"/>
        <v>23.387171563457496</v>
      </c>
      <c r="R5" s="32">
        <f t="shared" si="0"/>
        <v>22.27349672710238</v>
      </c>
      <c r="S5" s="32">
        <f t="shared" si="0"/>
        <v>21.212854025811787</v>
      </c>
      <c r="T5" s="32">
        <f t="shared" si="0"/>
        <v>20.202718119820755</v>
      </c>
      <c r="U5" s="32">
        <f t="shared" si="0"/>
        <v>19.240683923638809</v>
      </c>
      <c r="V5" s="32">
        <f t="shared" si="0"/>
        <v>18.324460879656009</v>
      </c>
      <c r="W5" s="32">
        <f t="shared" si="0"/>
        <v>17.451867504434293</v>
      </c>
      <c r="X5" s="32">
        <f t="shared" si="0"/>
        <v>16.620826194699326</v>
      </c>
      <c r="Y5" s="32">
        <f t="shared" si="0"/>
        <v>15.829358280666025</v>
      </c>
      <c r="Z5" s="32">
        <f t="shared" si="0"/>
        <v>15.075579314920024</v>
      </c>
      <c r="AA5" s="32">
        <f t="shared" si="0"/>
        <v>14.357694585638118</v>
      </c>
      <c r="AB5" s="32">
        <f t="shared" si="0"/>
        <v>13.673994843464875</v>
      </c>
      <c r="AC5" s="32">
        <f t="shared" si="0"/>
        <v>13.022852231871306</v>
      </c>
      <c r="AD5" s="32">
        <f t="shared" si="0"/>
        <v>12.402716411306008</v>
      </c>
      <c r="AE5" s="32">
        <f t="shared" si="0"/>
        <v>307.11488256567259</v>
      </c>
    </row>
    <row r="6" spans="2:31" x14ac:dyDescent="0.2">
      <c r="B6" s="4" t="s">
        <v>36</v>
      </c>
      <c r="C6" s="31">
        <v>0.05</v>
      </c>
      <c r="D6" s="25"/>
      <c r="E6" s="4" t="s">
        <v>126</v>
      </c>
      <c r="F6" s="29">
        <f>(C11+C12-2*C10)/(C10*C8^2)</f>
        <v>305.12130982056976</v>
      </c>
      <c r="G6" s="33">
        <f t="shared" ref="G6:AE6" si="1">IF($C$10=0,0,G5/$C$10)</f>
        <v>0</v>
      </c>
      <c r="H6" s="33">
        <f t="shared" si="1"/>
        <v>4.2233552634965352E-2</v>
      </c>
      <c r="I6" s="33">
        <f t="shared" si="1"/>
        <v>4.0222431080919371E-2</v>
      </c>
      <c r="J6" s="33">
        <f t="shared" si="1"/>
        <v>3.830707721992322E-2</v>
      </c>
      <c r="K6" s="33">
        <f t="shared" si="1"/>
        <v>3.6482930685641159E-2</v>
      </c>
      <c r="L6" s="33">
        <f t="shared" si="1"/>
        <v>3.4745648272039201E-2</v>
      </c>
      <c r="M6" s="33">
        <f t="shared" si="1"/>
        <v>3.3091093592418283E-2</v>
      </c>
      <c r="N6" s="33">
        <f t="shared" si="1"/>
        <v>3.1515327230874558E-2</v>
      </c>
      <c r="O6" s="33">
        <f t="shared" si="1"/>
        <v>3.0014597362737674E-2</v>
      </c>
      <c r="P6" s="33">
        <f t="shared" si="1"/>
        <v>2.8585330821654924E-2</v>
      </c>
      <c r="Q6" s="33">
        <f t="shared" si="1"/>
        <v>2.7224124592052309E-2</v>
      </c>
      <c r="R6" s="33">
        <f t="shared" si="1"/>
        <v>2.5927737706716487E-2</v>
      </c>
      <c r="S6" s="33">
        <f t="shared" si="1"/>
        <v>2.4693083530206175E-2</v>
      </c>
      <c r="T6" s="33">
        <f t="shared" si="1"/>
        <v>2.3517222409720172E-2</v>
      </c>
      <c r="U6" s="33">
        <f t="shared" si="1"/>
        <v>2.2397354675923967E-2</v>
      </c>
      <c r="V6" s="33">
        <f t="shared" si="1"/>
        <v>2.1330813977070446E-2</v>
      </c>
      <c r="W6" s="33">
        <f t="shared" si="1"/>
        <v>2.0315060930543281E-2</v>
      </c>
      <c r="X6" s="33">
        <f t="shared" si="1"/>
        <v>1.9347677076707884E-2</v>
      </c>
      <c r="Y6" s="33">
        <f t="shared" si="1"/>
        <v>1.8426359120674175E-2</v>
      </c>
      <c r="Z6" s="33">
        <f t="shared" si="1"/>
        <v>1.7548913448261122E-2</v>
      </c>
      <c r="AA6" s="33">
        <f t="shared" si="1"/>
        <v>1.6713250903105829E-2</v>
      </c>
      <c r="AB6" s="33">
        <f t="shared" si="1"/>
        <v>1.5917381812481743E-2</v>
      </c>
      <c r="AC6" s="33">
        <f t="shared" si="1"/>
        <v>1.5159411249982609E-2</v>
      </c>
      <c r="AD6" s="33">
        <f t="shared" si="1"/>
        <v>1.4437534523792962E-2</v>
      </c>
      <c r="AE6" s="33">
        <f t="shared" si="1"/>
        <v>0.35750085487487337</v>
      </c>
    </row>
    <row r="7" spans="2:31" x14ac:dyDescent="0.2">
      <c r="B7" s="4" t="s">
        <v>35</v>
      </c>
      <c r="C7" s="34">
        <v>25</v>
      </c>
      <c r="D7" s="25"/>
      <c r="E7" s="4" t="s">
        <v>62</v>
      </c>
      <c r="F7" s="35">
        <f>C11/C10-1</f>
        <v>-0.13355016351917537</v>
      </c>
      <c r="G7" s="33">
        <f t="shared" ref="G7:AE7" si="2">G4*G6</f>
        <v>0</v>
      </c>
      <c r="H7" s="33">
        <f t="shared" si="2"/>
        <v>8.4467105269930703E-2</v>
      </c>
      <c r="I7" s="33">
        <f t="shared" si="2"/>
        <v>0.12066729324275811</v>
      </c>
      <c r="J7" s="33">
        <f t="shared" si="2"/>
        <v>0.15322830887969288</v>
      </c>
      <c r="K7" s="33">
        <f t="shared" si="2"/>
        <v>0.18241465342820579</v>
      </c>
      <c r="L7" s="33">
        <f t="shared" si="2"/>
        <v>0.2084738896322352</v>
      </c>
      <c r="M7" s="33">
        <f t="shared" si="2"/>
        <v>0.23163765514692797</v>
      </c>
      <c r="N7" s="33">
        <f t="shared" si="2"/>
        <v>0.25212261784699647</v>
      </c>
      <c r="O7" s="33">
        <f t="shared" si="2"/>
        <v>0.27013137626463907</v>
      </c>
      <c r="P7" s="33">
        <f t="shared" si="2"/>
        <v>0.28585330821654925</v>
      </c>
      <c r="Q7" s="33">
        <f t="shared" si="2"/>
        <v>0.29946537051257538</v>
      </c>
      <c r="R7" s="33">
        <f t="shared" si="2"/>
        <v>0.31113285248059785</v>
      </c>
      <c r="S7" s="33">
        <f t="shared" si="2"/>
        <v>0.32101008589268026</v>
      </c>
      <c r="T7" s="33">
        <f t="shared" si="2"/>
        <v>0.32924111373608239</v>
      </c>
      <c r="U7" s="33">
        <f t="shared" si="2"/>
        <v>0.33596032013885951</v>
      </c>
      <c r="V7" s="33">
        <f t="shared" si="2"/>
        <v>0.34129302363312713</v>
      </c>
      <c r="W7" s="33">
        <f t="shared" si="2"/>
        <v>0.3453560358192358</v>
      </c>
      <c r="X7" s="33">
        <f t="shared" si="2"/>
        <v>0.34825818738074188</v>
      </c>
      <c r="Y7" s="33">
        <f t="shared" si="2"/>
        <v>0.35010082329280934</v>
      </c>
      <c r="Z7" s="33">
        <f t="shared" si="2"/>
        <v>0.35097826896522244</v>
      </c>
      <c r="AA7" s="33">
        <f t="shared" si="2"/>
        <v>0.35097826896522238</v>
      </c>
      <c r="AB7" s="33">
        <f t="shared" si="2"/>
        <v>0.35018239987459832</v>
      </c>
      <c r="AC7" s="33">
        <f t="shared" si="2"/>
        <v>0.34866645874960001</v>
      </c>
      <c r="AD7" s="33">
        <f t="shared" si="2"/>
        <v>0.34650082857103109</v>
      </c>
      <c r="AE7" s="33">
        <f t="shared" si="2"/>
        <v>8.9375213718718349</v>
      </c>
    </row>
    <row r="8" spans="2:31" x14ac:dyDescent="0.2">
      <c r="B8" s="4" t="s">
        <v>60</v>
      </c>
      <c r="C8" s="31">
        <v>0.01</v>
      </c>
      <c r="D8" s="25"/>
      <c r="E8" s="4" t="s">
        <v>127</v>
      </c>
      <c r="F8" s="35">
        <f>-F5*$C$8</f>
        <v>-0.14719658683630624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</row>
    <row r="9" spans="2:31" x14ac:dyDescent="0.2">
      <c r="B9" s="4" t="s">
        <v>38</v>
      </c>
      <c r="C9" s="36">
        <f>C4*C5</f>
        <v>40</v>
      </c>
      <c r="D9" s="25"/>
      <c r="E9" s="4" t="s">
        <v>128</v>
      </c>
      <c r="F9" s="35">
        <f>-F5*$C$8+0.5*F6*$C$8^2</f>
        <v>-0.13194052134527776</v>
      </c>
      <c r="G9" s="30" t="s">
        <v>36</v>
      </c>
      <c r="H9" s="30" t="s">
        <v>63</v>
      </c>
      <c r="I9" s="30" t="s">
        <v>129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</row>
    <row r="10" spans="2:31" x14ac:dyDescent="0.2">
      <c r="B10" s="4" t="s">
        <v>130</v>
      </c>
      <c r="C10" s="37">
        <f>-PV(C6,C7,C9,C4)</f>
        <v>859.06055433955237</v>
      </c>
      <c r="D10" s="25"/>
      <c r="E10" s="4" t="s">
        <v>131</v>
      </c>
      <c r="F10" s="35">
        <f>F8-F7</f>
        <v>-1.3646423317130868E-2</v>
      </c>
      <c r="G10" s="38">
        <v>0.02</v>
      </c>
      <c r="H10" s="32">
        <f t="shared" ref="H10:H20" si="3">-PV(G10,$C$7,$C$9,$C$4)</f>
        <v>1390.4691294717206</v>
      </c>
      <c r="I10" s="39">
        <f t="shared" ref="I10:I20" si="4">H10/$C$10-1</f>
        <v>0.61859268528598244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</row>
    <row r="11" spans="2:31" x14ac:dyDescent="0.2">
      <c r="B11" s="4" t="s">
        <v>132</v>
      </c>
      <c r="C11" s="37">
        <f>-PV(C6+C8,C7,C9,C4)</f>
        <v>744.33287683463175</v>
      </c>
      <c r="D11" s="25"/>
      <c r="E11" s="4" t="s">
        <v>133</v>
      </c>
      <c r="F11" s="35">
        <f>F9-F7</f>
        <v>1.609642173897613E-3</v>
      </c>
      <c r="G11" s="38">
        <v>0.03</v>
      </c>
      <c r="H11" s="32">
        <f t="shared" si="3"/>
        <v>1174.1314769127803</v>
      </c>
      <c r="I11" s="39">
        <f t="shared" si="4"/>
        <v>0.36676218106121183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 spans="2:31" x14ac:dyDescent="0.2">
      <c r="B12" s="4" t="s">
        <v>134</v>
      </c>
      <c r="C12" s="37">
        <f>-PV(C6-C8,C7,C9,C4)</f>
        <v>999.99999999999989</v>
      </c>
      <c r="D12" s="25"/>
      <c r="E12" s="4" t="s">
        <v>73</v>
      </c>
      <c r="F12" s="35">
        <f>C12/C10-1</f>
        <v>0.16406229450123222</v>
      </c>
      <c r="G12" s="38">
        <v>0.04</v>
      </c>
      <c r="H12" s="32">
        <f t="shared" si="3"/>
        <v>999.99999999999989</v>
      </c>
      <c r="I12" s="39">
        <f t="shared" si="4"/>
        <v>0.16406229450123222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spans="2:31" x14ac:dyDescent="0.2">
      <c r="B13" s="4"/>
      <c r="C13" s="25"/>
      <c r="D13" s="25"/>
      <c r="E13" s="4" t="s">
        <v>135</v>
      </c>
      <c r="F13" s="35">
        <f>F5*$C$8</f>
        <v>0.14719658683630624</v>
      </c>
      <c r="G13" s="38">
        <v>0.05</v>
      </c>
      <c r="H13" s="32">
        <f t="shared" si="3"/>
        <v>859.06055433955237</v>
      </c>
      <c r="I13" s="39">
        <f t="shared" si="4"/>
        <v>0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1" x14ac:dyDescent="0.2">
      <c r="B14" s="4"/>
      <c r="C14" s="25"/>
      <c r="D14" s="25"/>
      <c r="E14" s="4" t="s">
        <v>136</v>
      </c>
      <c r="F14" s="35">
        <f>F5*$C$8+0.5*F6*$C$8^2</f>
        <v>0.16245265232733472</v>
      </c>
      <c r="G14" s="38">
        <v>0.06</v>
      </c>
      <c r="H14" s="32">
        <f t="shared" si="3"/>
        <v>744.33287683463175</v>
      </c>
      <c r="I14" s="39">
        <f t="shared" si="4"/>
        <v>-0.13355016351917537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  <row r="15" spans="2:31" x14ac:dyDescent="0.2">
      <c r="B15" s="4"/>
      <c r="C15" s="25"/>
      <c r="D15" s="25"/>
      <c r="E15" s="4" t="s">
        <v>137</v>
      </c>
      <c r="F15" s="35">
        <f>F13-F12</f>
        <v>-1.6865707664925983E-2</v>
      </c>
      <c r="G15" s="38">
        <v>7.0000000000000007E-2</v>
      </c>
      <c r="H15" s="32">
        <f t="shared" si="3"/>
        <v>650.39250465238831</v>
      </c>
      <c r="I15" s="39">
        <f t="shared" si="4"/>
        <v>-0.24290260870793734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</row>
    <row r="16" spans="2:31" x14ac:dyDescent="0.2">
      <c r="B16" s="4"/>
      <c r="C16" s="25"/>
      <c r="D16" s="25"/>
      <c r="E16" s="4" t="s">
        <v>138</v>
      </c>
      <c r="F16" s="35">
        <f>F14-F12</f>
        <v>-1.609642173897502E-3</v>
      </c>
      <c r="G16" s="38">
        <v>0.08</v>
      </c>
      <c r="H16" s="32">
        <f t="shared" si="3"/>
        <v>573.00895245645677</v>
      </c>
      <c r="I16" s="39">
        <f t="shared" si="4"/>
        <v>-0.33298188403378937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</row>
    <row r="17" spans="2:31" x14ac:dyDescent="0.2">
      <c r="B17" s="4"/>
      <c r="C17" s="25"/>
      <c r="D17" s="25"/>
      <c r="E17" s="4"/>
      <c r="F17" s="25"/>
      <c r="G17" s="38">
        <v>0.09</v>
      </c>
      <c r="H17" s="32">
        <f t="shared" si="3"/>
        <v>508.87101975257565</v>
      </c>
      <c r="I17" s="39">
        <f t="shared" si="4"/>
        <v>-0.40764243314163484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</row>
    <row r="18" spans="2:31" ht="16" x14ac:dyDescent="0.2">
      <c r="B18" s="49" t="s">
        <v>139</v>
      </c>
      <c r="C18" s="47"/>
      <c r="D18" s="47"/>
      <c r="E18" s="50"/>
      <c r="F18" s="47"/>
      <c r="G18" s="40">
        <v>0.1</v>
      </c>
      <c r="H18" s="41">
        <f t="shared" si="3"/>
        <v>455.3775989062384</v>
      </c>
      <c r="I18" s="42">
        <f t="shared" si="4"/>
        <v>-0.46991210735274225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2:31" x14ac:dyDescent="0.2">
      <c r="B19" s="50"/>
      <c r="C19" s="51"/>
      <c r="D19" s="51"/>
      <c r="E19" s="50"/>
      <c r="F19" s="51"/>
      <c r="G19" s="38">
        <v>0.11</v>
      </c>
      <c r="H19" s="32">
        <f t="shared" si="3"/>
        <v>410.47787347331661</v>
      </c>
      <c r="I19" s="39">
        <f t="shared" si="4"/>
        <v>-0.52217818476266453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</row>
    <row r="20" spans="2:31" x14ac:dyDescent="0.2">
      <c r="B20" s="50"/>
      <c r="C20" s="51"/>
      <c r="D20" s="51"/>
      <c r="E20" s="50"/>
      <c r="F20" s="51"/>
      <c r="G20" s="38">
        <v>0.12</v>
      </c>
      <c r="H20" s="32">
        <f t="shared" si="3"/>
        <v>372.54887103483577</v>
      </c>
      <c r="I20" s="39">
        <f t="shared" si="4"/>
        <v>-0.56632990636934533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spans="2:31" x14ac:dyDescent="0.2">
      <c r="B21" s="4"/>
      <c r="C21" s="25"/>
      <c r="D21" s="25"/>
      <c r="E21" s="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spans="2:31" x14ac:dyDescent="0.2">
      <c r="B22" s="43" t="s">
        <v>140</v>
      </c>
      <c r="C22" s="44" t="s">
        <v>141</v>
      </c>
      <c r="D22" s="25"/>
      <c r="E22" s="4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2:31" x14ac:dyDescent="0.2">
      <c r="B23" s="4"/>
      <c r="C23" s="44" t="s">
        <v>142</v>
      </c>
      <c r="D23" s="25"/>
      <c r="E23" s="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</row>
    <row r="24" spans="2:31" x14ac:dyDescent="0.2">
      <c r="B24" s="4"/>
      <c r="C24" s="44" t="s">
        <v>143</v>
      </c>
      <c r="D24" s="25"/>
      <c r="E24" s="4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</sheetData>
  <mergeCells count="2">
    <mergeCell ref="B18:F20"/>
    <mergeCell ref="B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showGridLines="0" workbookViewId="0">
      <selection activeCell="C15" sqref="C15"/>
    </sheetView>
  </sheetViews>
  <sheetFormatPr baseColWidth="10" defaultColWidth="8.83203125" defaultRowHeight="15" x14ac:dyDescent="0.2"/>
  <cols>
    <col min="1" max="1" width="10" customWidth="1"/>
    <col min="2" max="8" width="16" customWidth="1"/>
    <col min="10" max="10" width="28" customWidth="1"/>
    <col min="11" max="11" width="20" customWidth="1"/>
  </cols>
  <sheetData>
    <row r="1" spans="1:11" ht="21" x14ac:dyDescent="0.2">
      <c r="A1" s="45" t="s">
        <v>98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3" spans="1:11" ht="16" x14ac:dyDescent="0.2">
      <c r="A3" s="48" t="s">
        <v>99</v>
      </c>
      <c r="B3" s="46"/>
      <c r="C3" s="46"/>
      <c r="J3" s="48" t="s">
        <v>55</v>
      </c>
      <c r="K3" s="46"/>
    </row>
    <row r="4" spans="1:11" x14ac:dyDescent="0.2">
      <c r="B4" s="17" t="s">
        <v>56</v>
      </c>
      <c r="C4" s="12">
        <v>1000</v>
      </c>
      <c r="J4" s="17" t="s">
        <v>100</v>
      </c>
      <c r="K4" s="13">
        <f>SUM(D15:D17)</f>
        <v>1042.9605675048529</v>
      </c>
    </row>
    <row r="5" spans="1:11" x14ac:dyDescent="0.2">
      <c r="B5" s="17" t="s">
        <v>101</v>
      </c>
      <c r="C5" s="12">
        <v>70</v>
      </c>
      <c r="J5" s="17" t="s">
        <v>102</v>
      </c>
      <c r="K5" s="13">
        <f>SUM(E15:E17)</f>
        <v>1040.4690006771395</v>
      </c>
    </row>
    <row r="6" spans="1:11" x14ac:dyDescent="0.2">
      <c r="B6" s="17" t="s">
        <v>35</v>
      </c>
      <c r="C6" s="22">
        <v>3</v>
      </c>
      <c r="J6" s="17" t="s">
        <v>103</v>
      </c>
      <c r="K6" s="13">
        <f>SUM(G15:G17)</f>
        <v>1017.5324750573511</v>
      </c>
    </row>
    <row r="7" spans="1:11" x14ac:dyDescent="0.2">
      <c r="B7" s="17" t="s">
        <v>104</v>
      </c>
      <c r="C7" s="9">
        <v>3.5000000000000003E-2</v>
      </c>
      <c r="J7" s="17" t="s">
        <v>105</v>
      </c>
      <c r="K7" s="13">
        <f>SUM(H15:H17)</f>
        <v>1013.2423775536172</v>
      </c>
    </row>
    <row r="8" spans="1:11" x14ac:dyDescent="0.2">
      <c r="B8" s="17" t="s">
        <v>106</v>
      </c>
      <c r="C8" s="9">
        <v>4.4999999999999998E-2</v>
      </c>
      <c r="J8" s="17" t="s">
        <v>107</v>
      </c>
      <c r="K8" s="13">
        <f>K6-K4</f>
        <v>-25.42809244750174</v>
      </c>
    </row>
    <row r="9" spans="1:11" x14ac:dyDescent="0.2">
      <c r="B9" s="17" t="s">
        <v>108</v>
      </c>
      <c r="C9" s="9">
        <v>5.5E-2</v>
      </c>
      <c r="J9" s="17" t="s">
        <v>109</v>
      </c>
      <c r="K9" s="14">
        <f>K6/K4-1</f>
        <v>-2.4380684409128883E-2</v>
      </c>
    </row>
    <row r="10" spans="1:11" x14ac:dyDescent="0.2">
      <c r="B10" s="17" t="s">
        <v>110</v>
      </c>
      <c r="C10" s="11">
        <v>6.5000000000000002E-2</v>
      </c>
      <c r="J10" s="17" t="s">
        <v>111</v>
      </c>
      <c r="K10" s="13">
        <f>K7-K5</f>
        <v>-27.226623123522359</v>
      </c>
    </row>
    <row r="11" spans="1:11" x14ac:dyDescent="0.2">
      <c r="B11" s="17" t="s">
        <v>112</v>
      </c>
      <c r="C11" s="14">
        <f>C9</f>
        <v>5.5E-2</v>
      </c>
      <c r="J11" s="17" t="s">
        <v>113</v>
      </c>
      <c r="K11" s="14">
        <f>K7/K5-1</f>
        <v>-2.6167644692733028E-2</v>
      </c>
    </row>
    <row r="12" spans="1:11" ht="18" customHeight="1" x14ac:dyDescent="0.2">
      <c r="B12" s="17" t="s">
        <v>114</v>
      </c>
      <c r="C12" s="14">
        <f>C10</f>
        <v>6.5000000000000002E-2</v>
      </c>
      <c r="J12" s="17" t="s">
        <v>115</v>
      </c>
      <c r="K12" s="14">
        <f>ABS(K11)-ABS(K9)</f>
        <v>1.7869602836041443E-3</v>
      </c>
    </row>
    <row r="14" spans="1:11" ht="54" customHeight="1" x14ac:dyDescent="0.2">
      <c r="A14" s="10" t="s">
        <v>67</v>
      </c>
      <c r="B14" s="10" t="s">
        <v>68</v>
      </c>
      <c r="C14" s="10" t="s">
        <v>116</v>
      </c>
      <c r="D14" s="10" t="s">
        <v>117</v>
      </c>
      <c r="E14" s="10" t="s">
        <v>118</v>
      </c>
      <c r="F14" s="10" t="s">
        <v>119</v>
      </c>
      <c r="G14" s="10" t="s">
        <v>120</v>
      </c>
      <c r="H14" s="10" t="s">
        <v>121</v>
      </c>
      <c r="J14" s="4" t="s">
        <v>50</v>
      </c>
      <c r="K14" s="47" t="s">
        <v>122</v>
      </c>
    </row>
    <row r="15" spans="1:11" x14ac:dyDescent="0.2">
      <c r="A15" s="4">
        <v>1</v>
      </c>
      <c r="B15" s="13">
        <f>IF(A15&lt;$C$6,$C$5,$C$5+$C$4)</f>
        <v>70</v>
      </c>
      <c r="C15" s="14">
        <f>INDEX($C$7:$C$9,A15)</f>
        <v>3.5000000000000003E-2</v>
      </c>
      <c r="D15" s="13">
        <f>B15/(1+C15)^A15</f>
        <v>67.632850241545896</v>
      </c>
      <c r="E15" s="13">
        <f>B15/(1+$C$11)^A15</f>
        <v>66.350710900473942</v>
      </c>
      <c r="F15" s="14">
        <f>IF(A15=3,$C$10,INDEX($C$7:$C$8,A15))</f>
        <v>3.5000000000000003E-2</v>
      </c>
      <c r="G15" s="13">
        <f>B15/(1+F15)^A15</f>
        <v>67.632850241545896</v>
      </c>
      <c r="H15" s="13">
        <f>B15/(1+$C$12)^A15</f>
        <v>65.727699530516432</v>
      </c>
      <c r="K15" s="46"/>
    </row>
    <row r="16" spans="1:11" x14ac:dyDescent="0.2">
      <c r="A16" s="4">
        <v>2</v>
      </c>
      <c r="B16" s="13">
        <f>IF(A16&lt;$C$6,$C$5,$C$5+$C$4)</f>
        <v>70</v>
      </c>
      <c r="C16" s="14">
        <f>INDEX($C$7:$C$9,A16)</f>
        <v>4.4999999999999998E-2</v>
      </c>
      <c r="D16" s="13">
        <f>B16/(1+C16)^A16</f>
        <v>64.10109658661662</v>
      </c>
      <c r="E16" s="13">
        <f>B16/(1+$C$11)^A16</f>
        <v>62.891669099975296</v>
      </c>
      <c r="F16" s="14">
        <f>IF(A16=3,$C$10,INDEX($C$7:$C$8,A16))</f>
        <v>4.4999999999999998E-2</v>
      </c>
      <c r="G16" s="13">
        <f>B16/(1+F16)^A16</f>
        <v>64.10109658661662</v>
      </c>
      <c r="H16" s="13">
        <f>B16/(1+$C$12)^A16</f>
        <v>61.716149793912152</v>
      </c>
      <c r="K16" s="46"/>
    </row>
    <row r="17" spans="1:8" x14ac:dyDescent="0.2">
      <c r="A17" s="4">
        <v>3</v>
      </c>
      <c r="B17" s="13">
        <f>IF(A17&lt;$C$6,$C$5,$C$5+$C$4)</f>
        <v>1070</v>
      </c>
      <c r="C17" s="14">
        <f>INDEX($C$7:$C$9,A17)</f>
        <v>5.5E-2</v>
      </c>
      <c r="D17" s="13">
        <f>B17/(1+C17)^A17</f>
        <v>911.22662067669023</v>
      </c>
      <c r="E17" s="13">
        <f>B17/(1+$C$11)^A17</f>
        <v>911.22662067669023</v>
      </c>
      <c r="F17" s="14">
        <f>IF(A17=3,$C$10,INDEX($C$7:$C$8,A17))</f>
        <v>6.5000000000000002E-2</v>
      </c>
      <c r="G17" s="13">
        <f>B17/(1+F17)^A17</f>
        <v>885.79852822918861</v>
      </c>
      <c r="H17" s="13">
        <f>B17/(1+$C$12)^A17</f>
        <v>885.79852822918861</v>
      </c>
    </row>
  </sheetData>
  <mergeCells count="4">
    <mergeCell ref="K14:K16"/>
    <mergeCell ref="J3:K3"/>
    <mergeCell ref="A1:K1"/>
    <mergeCell ref="A3:C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7"/>
  <sheetViews>
    <sheetView showGridLines="0" workbookViewId="0">
      <selection sqref="A1:C1"/>
    </sheetView>
  </sheetViews>
  <sheetFormatPr baseColWidth="10" defaultColWidth="8.83203125" defaultRowHeight="15" x14ac:dyDescent="0.2"/>
  <cols>
    <col min="1" max="1" width="36" customWidth="1"/>
    <col min="2" max="2" width="16" customWidth="1"/>
    <col min="3" max="3" width="72" customWidth="1"/>
  </cols>
  <sheetData>
    <row r="1" spans="1:3" ht="21" x14ac:dyDescent="0.2">
      <c r="A1" s="45" t="s">
        <v>144</v>
      </c>
      <c r="B1" s="46"/>
      <c r="C1" s="46"/>
    </row>
    <row r="4" spans="1:3" ht="16" x14ac:dyDescent="0.2">
      <c r="A4" s="17" t="s">
        <v>145</v>
      </c>
      <c r="B4" s="14" t="str">
        <f>Part1!O6</f>
        <v>D</v>
      </c>
      <c r="C4" s="2" t="s">
        <v>146</v>
      </c>
    </row>
    <row r="5" spans="1:3" ht="16" x14ac:dyDescent="0.2">
      <c r="A5" s="17" t="s">
        <v>147</v>
      </c>
      <c r="B5" s="14" t="str">
        <f>Part1!O7</f>
        <v>A</v>
      </c>
      <c r="C5" s="2" t="s">
        <v>148</v>
      </c>
    </row>
    <row r="6" spans="1:3" ht="16" x14ac:dyDescent="0.2">
      <c r="A6" s="17" t="s">
        <v>149</v>
      </c>
      <c r="B6" s="13">
        <f>Part2!C9</f>
        <v>966.12788743536078</v>
      </c>
      <c r="C6" s="2" t="s">
        <v>150</v>
      </c>
    </row>
    <row r="7" spans="1:3" ht="16" x14ac:dyDescent="0.2">
      <c r="A7" s="17" t="s">
        <v>151</v>
      </c>
      <c r="B7" s="18">
        <f>Part2!I5</f>
        <v>3.4268181792072641</v>
      </c>
      <c r="C7" s="2" t="s">
        <v>152</v>
      </c>
    </row>
    <row r="8" spans="1:3" ht="16" x14ac:dyDescent="0.2">
      <c r="A8" s="17" t="s">
        <v>153</v>
      </c>
      <c r="B8" s="14">
        <f>Part2!I8</f>
        <v>-3.3505320214052059E-2</v>
      </c>
      <c r="C8" s="2" t="s">
        <v>154</v>
      </c>
    </row>
    <row r="9" spans="1:3" ht="16" x14ac:dyDescent="0.2">
      <c r="A9" s="17" t="s">
        <v>155</v>
      </c>
      <c r="B9" s="18">
        <f>Part2!I9</f>
        <v>-3.4268181792072638E-2</v>
      </c>
      <c r="C9" s="2" t="s">
        <v>156</v>
      </c>
    </row>
    <row r="10" spans="1:3" ht="16" x14ac:dyDescent="0.2">
      <c r="A10" s="17" t="s">
        <v>157</v>
      </c>
      <c r="B10" s="18">
        <f>Part3!G7</f>
        <v>4.0964371438618272</v>
      </c>
      <c r="C10" s="2" t="s">
        <v>158</v>
      </c>
    </row>
    <row r="11" spans="1:3" ht="16" x14ac:dyDescent="0.2">
      <c r="A11" s="17" t="s">
        <v>159</v>
      </c>
      <c r="B11" s="18">
        <f>Part3!G8</f>
        <v>10.844484594232936</v>
      </c>
      <c r="C11" s="2" t="s">
        <v>160</v>
      </c>
    </row>
    <row r="12" spans="1:3" ht="16" x14ac:dyDescent="0.2">
      <c r="A12" s="17" t="s">
        <v>161</v>
      </c>
      <c r="B12" s="18">
        <f>Part3!G12</f>
        <v>14.311408001160039</v>
      </c>
      <c r="C12" s="2" t="s">
        <v>162</v>
      </c>
    </row>
    <row r="13" spans="1:3" ht="16" x14ac:dyDescent="0.2">
      <c r="A13" s="17" t="s">
        <v>163</v>
      </c>
      <c r="B13" s="18">
        <f>Part3!G15</f>
        <v>18.518518518518519</v>
      </c>
      <c r="C13" s="2" t="s">
        <v>164</v>
      </c>
    </row>
    <row r="14" spans="1:3" ht="16" x14ac:dyDescent="0.2">
      <c r="A14" s="17" t="s">
        <v>165</v>
      </c>
      <c r="B14" s="18">
        <f>Part3!G16</f>
        <v>19.417475728155338</v>
      </c>
      <c r="C14" s="2" t="s">
        <v>166</v>
      </c>
    </row>
    <row r="15" spans="1:3" ht="16" x14ac:dyDescent="0.2">
      <c r="A15" s="17" t="s">
        <v>167</v>
      </c>
      <c r="B15" s="13">
        <f>Part4!K4</f>
        <v>1042.9605675048529</v>
      </c>
      <c r="C15" s="2" t="s">
        <v>168</v>
      </c>
    </row>
    <row r="16" spans="1:3" ht="16" x14ac:dyDescent="0.2">
      <c r="A16" s="17" t="s">
        <v>169</v>
      </c>
      <c r="B16" s="14">
        <f>Part4!K9</f>
        <v>-2.4380684409128883E-2</v>
      </c>
      <c r="C16" s="2" t="s">
        <v>170</v>
      </c>
    </row>
    <row r="17" spans="1:3" ht="16" x14ac:dyDescent="0.2">
      <c r="A17" s="17" t="s">
        <v>171</v>
      </c>
      <c r="B17" s="14">
        <f>Part4!K11</f>
        <v>-2.6167644692733028E-2</v>
      </c>
      <c r="C17" s="2" t="s">
        <v>172</v>
      </c>
    </row>
    <row r="18" spans="1:3" ht="16" x14ac:dyDescent="0.2">
      <c r="A18" s="17" t="s">
        <v>173</v>
      </c>
      <c r="B18" s="18">
        <f>Part5!F5</f>
        <v>14.719658683630623</v>
      </c>
      <c r="C18" s="2" t="s">
        <v>174</v>
      </c>
    </row>
    <row r="19" spans="1:3" ht="16" x14ac:dyDescent="0.2">
      <c r="A19" s="17" t="s">
        <v>175</v>
      </c>
      <c r="B19" s="18">
        <f>Part5!F6</f>
        <v>305.12130982056976</v>
      </c>
      <c r="C19" s="2" t="s">
        <v>176</v>
      </c>
    </row>
    <row r="20" spans="1:3" ht="16" x14ac:dyDescent="0.2">
      <c r="A20" s="17" t="s">
        <v>177</v>
      </c>
      <c r="B20" s="14">
        <f>Part5!F11</f>
        <v>1.609642173897613E-3</v>
      </c>
      <c r="C20" s="2" t="s">
        <v>178</v>
      </c>
    </row>
    <row r="21" spans="1:3" ht="16" x14ac:dyDescent="0.2">
      <c r="A21" s="17" t="s">
        <v>179</v>
      </c>
      <c r="B21" s="18">
        <f>Part5!F13</f>
        <v>0.14719658683630624</v>
      </c>
      <c r="C21" s="2" t="s">
        <v>180</v>
      </c>
    </row>
    <row r="24" spans="1:3" x14ac:dyDescent="0.2">
      <c r="A24" s="1" t="s">
        <v>181</v>
      </c>
    </row>
    <row r="25" spans="1:3" ht="28" customHeight="1" x14ac:dyDescent="0.2">
      <c r="A25" s="4" t="s">
        <v>182</v>
      </c>
      <c r="B25" s="47" t="s">
        <v>183</v>
      </c>
      <c r="C25" s="46"/>
    </row>
    <row r="26" spans="1:3" ht="40" customHeight="1" x14ac:dyDescent="0.2">
      <c r="A26" s="4" t="s">
        <v>184</v>
      </c>
      <c r="B26" s="47" t="s">
        <v>185</v>
      </c>
      <c r="C26" s="46"/>
    </row>
    <row r="27" spans="1:3" ht="32" customHeight="1" x14ac:dyDescent="0.2">
      <c r="A27" s="4" t="s">
        <v>186</v>
      </c>
      <c r="B27" s="47" t="s">
        <v>187</v>
      </c>
      <c r="C27" s="46"/>
    </row>
  </sheetData>
  <mergeCells count="4">
    <mergeCell ref="A1:C1"/>
    <mergeCell ref="B27:C27"/>
    <mergeCell ref="B25:C25"/>
    <mergeCell ref="B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Start_Here</vt:lpstr>
      <vt:lpstr>Part1</vt:lpstr>
      <vt:lpstr>Sheet1</vt:lpstr>
      <vt:lpstr>Part2</vt:lpstr>
      <vt:lpstr>Part3</vt:lpstr>
      <vt:lpstr>Part5</vt:lpstr>
      <vt:lpstr>Part4</vt:lpstr>
      <vt:lpstr>Solution_Summary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Wenning, Derek Thomas</cp:lastModifiedBy>
  <dcterms:created xsi:type="dcterms:W3CDTF">2026-03-26T18:56:00Z</dcterms:created>
  <dcterms:modified xsi:type="dcterms:W3CDTF">2026-03-29T17:25:26Z</dcterms:modified>
</cp:coreProperties>
</file>